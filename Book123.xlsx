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sh\Downloads\INSURANCE_CRM_BUSINESS (1)\"/>
    </mc:Choice>
  </mc:AlternateContent>
  <xr:revisionPtr revIDLastSave="0" documentId="13_ncr:1_{2996CF70-5496-44FC-A912-62D78275DC8B}" xr6:coauthVersionLast="47" xr6:coauthVersionMax="47" xr10:uidLastSave="{00000000-0000-0000-0000-000000000000}"/>
  <bookViews>
    <workbookView xWindow="-108" yWindow="-108" windowWidth="23256" windowHeight="12456" xr2:uid="{E0CE992E-D1B6-49C6-B014-10761364A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1" i="1" l="1"/>
  <c r="L131" i="1" s="1"/>
  <c r="M131" i="1" s="1"/>
  <c r="I131" i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I116" i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M73" i="1"/>
  <c r="L73" i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M40" i="1"/>
  <c r="L40" i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L2" i="1"/>
  <c r="M2" i="1" s="1"/>
</calcChain>
</file>

<file path=xl/sharedStrings.xml><?xml version="1.0" encoding="utf-8"?>
<sst xmlns="http://schemas.openxmlformats.org/spreadsheetml/2006/main" count="1598" uniqueCount="663">
  <si>
    <t>Sr No</t>
  </si>
  <si>
    <t>Month</t>
  </si>
  <si>
    <t>CustName</t>
  </si>
  <si>
    <t>Insurer</t>
  </si>
  <si>
    <t>Policy Type</t>
  </si>
  <si>
    <t>Department</t>
  </si>
  <si>
    <t>Source</t>
  </si>
  <si>
    <t>Expire Date</t>
  </si>
  <si>
    <t>Commissionable Premium</t>
  </si>
  <si>
    <t>Net/OD Premium</t>
  </si>
  <si>
    <t>TPPremium</t>
  </si>
  <si>
    <t>PBST(NP)</t>
  </si>
  <si>
    <t>Gross Premium</t>
  </si>
  <si>
    <t>NCB</t>
  </si>
  <si>
    <t>PolicyNo</t>
  </si>
  <si>
    <t>Make</t>
  </si>
  <si>
    <t>Model/Variant</t>
  </si>
  <si>
    <t>GCV/PCV/Misc.</t>
  </si>
  <si>
    <t>No.Passengers/GVW</t>
  </si>
  <si>
    <t>Vehicle_No.</t>
  </si>
  <si>
    <t>CC</t>
  </si>
  <si>
    <t>Fuel</t>
  </si>
  <si>
    <t>RTOName</t>
  </si>
  <si>
    <t>REF NAME</t>
  </si>
  <si>
    <t>Kathari Naresh Singh</t>
  </si>
  <si>
    <t>Icici Lombard GIC Ltd</t>
  </si>
  <si>
    <t>Motor</t>
  </si>
  <si>
    <t>Pvt SAOD Policy</t>
  </si>
  <si>
    <t>Rollover</t>
  </si>
  <si>
    <t>3001/O/399145286/00/000</t>
  </si>
  <si>
    <t>Kia</t>
  </si>
  <si>
    <t>Seltos HTX+</t>
  </si>
  <si>
    <t>TS09GD7425</t>
  </si>
  <si>
    <t>Petrol</t>
  </si>
  <si>
    <t>TS09</t>
  </si>
  <si>
    <t>7PY Associates</t>
  </si>
  <si>
    <t>BOMBAY BAR AND CAFE</t>
  </si>
  <si>
    <t>Pvt Car Package Policy</t>
  </si>
  <si>
    <t>3001/399229842/00/000</t>
  </si>
  <si>
    <t>HONDA</t>
  </si>
  <si>
    <t>BRIO VX AT</t>
  </si>
  <si>
    <t>TS09FA7575</t>
  </si>
  <si>
    <t>SABOO</t>
  </si>
  <si>
    <t>RAMESH KANDUKURI</t>
  </si>
  <si>
    <t>3001/O/399306026/00/000</t>
  </si>
  <si>
    <t>TATA SAFARI</t>
  </si>
  <si>
    <t>SAFARI ADVENTURE PLUS A</t>
  </si>
  <si>
    <t>TG08G1189</t>
  </si>
  <si>
    <t>DIESEL</t>
  </si>
  <si>
    <t>TG08</t>
  </si>
  <si>
    <t>KARTIK</t>
  </si>
  <si>
    <t>APR CONSTRUCTIONS LIMITED</t>
  </si>
  <si>
    <t>Tata AIG GIC Ltd</t>
  </si>
  <si>
    <t>Fresh</t>
  </si>
  <si>
    <t>3102376770</t>
  </si>
  <si>
    <t>LANDROVER</t>
  </si>
  <si>
    <t>RANGE ROVER / 3.0 DIESEL HSE LWB/ SUV</t>
  </si>
  <si>
    <t>NEW</t>
  </si>
  <si>
    <t> 2997</t>
  </si>
  <si>
    <t>TG09</t>
  </si>
  <si>
    <t>AAMIR SHARMA</t>
  </si>
  <si>
    <t>3001/399376842/00/000</t>
  </si>
  <si>
    <t>HYUNDAI</t>
  </si>
  <si>
    <t>CRETA 1.5 SX IVT MPI</t>
  </si>
  <si>
    <t>TS09FW8839</t>
  </si>
  <si>
    <t>PETROL</t>
  </si>
  <si>
    <t>ANAND NAGU JEERLAPALLY</t>
  </si>
  <si>
    <t>3001/O/399378865/00/000</t>
  </si>
  <si>
    <t>VENUE N LINE N8 TURBO DCT</t>
  </si>
  <si>
    <t>TG09B2499</t>
  </si>
  <si>
    <t>Shravan</t>
  </si>
  <si>
    <t>LORVEN BIOLOGICS PRIVATE LIMITED</t>
  </si>
  <si>
    <t>Liberty General Insurance Co Ltd</t>
  </si>
  <si>
    <t>201150010225700106700000</t>
  </si>
  <si>
    <t>MERCEDESBENZ</t>
  </si>
  <si>
    <t>GLS CLASS/450D 4MATIC</t>
  </si>
  <si>
    <t>ANAND</t>
  </si>
  <si>
    <t>KONERU APPARAO</t>
  </si>
  <si>
    <t>6204953791</t>
  </si>
  <si>
    <t>SKODA/OCTAVIA</t>
  </si>
  <si>
    <t>STYLE 2.0 TDI CR AT</t>
  </si>
  <si>
    <t>TS09EN8789</t>
  </si>
  <si>
    <t>RATNESH</t>
  </si>
  <si>
    <t>G M R FILLING STATION</t>
  </si>
  <si>
    <t>3001/399505070/00/000</t>
  </si>
  <si>
    <t>BYD</t>
  </si>
  <si>
    <t>SEAL PREMIUM</t>
  </si>
  <si>
    <t>BATTERY</t>
  </si>
  <si>
    <t>SIDDHANT JAIN</t>
  </si>
  <si>
    <t>3001/O/399502830/00/000</t>
  </si>
  <si>
    <t>VERNA 1.5L SX MPI IVT</t>
  </si>
  <si>
    <t>TS09GC9043</t>
  </si>
  <si>
    <t>CHILUKURI ANISH</t>
  </si>
  <si>
    <t>3001/399570618/00/000</t>
  </si>
  <si>
    <t>Ferrari</t>
  </si>
  <si>
    <t>458 ITALIA</t>
  </si>
  <si>
    <t>GA08M2011</t>
  </si>
  <si>
    <t>GA08</t>
  </si>
  <si>
    <t>GAURAV INTERNATIONAL MSINA</t>
  </si>
  <si>
    <t>3001/399572594/00/B00</t>
  </si>
  <si>
    <t>Land Rover</t>
  </si>
  <si>
    <t>RANGE ROVER SPORT 3.0 AWD HSE DIESEL</t>
  </si>
  <si>
    <t>TS09FC7000</t>
  </si>
  <si>
    <t>ADHIKYA HOSPITALITY</t>
  </si>
  <si>
    <t>3001/399532551/00/B00</t>
  </si>
  <si>
    <t xml:space="preserve">TUCSON CRDI AT GL </t>
  </si>
  <si>
    <t>TS09FD1368</t>
  </si>
  <si>
    <t>AROTOGRAPHY</t>
  </si>
  <si>
    <t>201150010225700108600000</t>
  </si>
  <si>
    <t>MG MOTOR</t>
  </si>
  <si>
    <t>SHARP HYBRID 1.5 PETROL</t>
  </si>
  <si>
    <t>TS10EZ9816</t>
  </si>
  <si>
    <t>TS10</t>
  </si>
  <si>
    <t>LAKSHMA REDDY KYLA</t>
  </si>
  <si>
    <t>201150010225700109400000</t>
  </si>
  <si>
    <t>TOYOTA/INNOVA</t>
  </si>
  <si>
    <t>CRYSTA/2.4 ZX AT 7 STR</t>
  </si>
  <si>
    <t>TS07JK2334</t>
  </si>
  <si>
    <t>TS07</t>
  </si>
  <si>
    <t>SREE SRINIVASA TRAVELS</t>
  </si>
  <si>
    <t>Staff Buss</t>
  </si>
  <si>
    <t>63032034380000</t>
  </si>
  <si>
    <t>EICHER</t>
  </si>
  <si>
    <t>PRO 3010/L DIE SELBUS/Closed/BUS</t>
  </si>
  <si>
    <t>Pavan Srinivasa travels</t>
  </si>
  <si>
    <t>BALLA KRISHNA</t>
  </si>
  <si>
    <t>Future Generali India Insurance Co Ltd</t>
  </si>
  <si>
    <t>VE085971</t>
  </si>
  <si>
    <t>MAHINDRA</t>
  </si>
  <si>
    <t>XUV700AX7 PET MT 7 STR</t>
  </si>
  <si>
    <t>TS10FF5919</t>
  </si>
  <si>
    <t>HANUMANTH</t>
  </si>
  <si>
    <t>24 X 7 Translines</t>
  </si>
  <si>
    <t>Oriental Insurance Co Ltd</t>
  </si>
  <si>
    <t>PCV</t>
  </si>
  <si>
    <t>431500/31/2026/1395</t>
  </si>
  <si>
    <t>TATA XPRESS</t>
  </si>
  <si>
    <t>T EV XM+ BOV</t>
  </si>
  <si>
    <t>TS09UD5276</t>
  </si>
  <si>
    <t>RASHEED ABDUL</t>
  </si>
  <si>
    <t>USED</t>
  </si>
  <si>
    <t>6204967333</t>
  </si>
  <si>
    <t>HYUNDAI/I20</t>
  </si>
  <si>
    <t>1.2 MAGNA PETROL</t>
  </si>
  <si>
    <t>TS11ES7414</t>
  </si>
  <si>
    <t>TS11</t>
  </si>
  <si>
    <t>SAI PROPERTIES AND PROJECTS</t>
  </si>
  <si>
    <t>VE085601</t>
  </si>
  <si>
    <t>MERCEDES B</t>
  </si>
  <si>
    <t>GLC220 D 4MATIC</t>
  </si>
  <si>
    <t>TS09FS8778</t>
  </si>
  <si>
    <t>KRANTHI</t>
  </si>
  <si>
    <t>VINOD KUMAR SULTANIA</t>
  </si>
  <si>
    <t>201150010225700109700000</t>
  </si>
  <si>
    <t>MARUTI</t>
  </si>
  <si>
    <t>IGNI S/ZETA 1.2 AMT</t>
  </si>
  <si>
    <t>TS09EU0101</t>
  </si>
  <si>
    <t>SABOO AUTOMOTIVE PRIVATE LIMITED</t>
  </si>
  <si>
    <t>6204972120</t>
  </si>
  <si>
    <t xml:space="preserve">JIMNY alpha </t>
  </si>
  <si>
    <t>TS09GF0726</t>
  </si>
  <si>
    <t>BATHULA VIJAY</t>
  </si>
  <si>
    <t>VE086884</t>
  </si>
  <si>
    <t>CITY1.5 VX CVT i-VTEC</t>
  </si>
  <si>
    <t>TS08ET3300</t>
  </si>
  <si>
    <t>TS08</t>
  </si>
  <si>
    <t>K RATNA</t>
  </si>
  <si>
    <t>6204971560</t>
  </si>
  <si>
    <t>LAND ROVER/RANGE ROVER VELAR</t>
  </si>
  <si>
    <t>2.0 R DYNAMIC S DIESEL</t>
  </si>
  <si>
    <t>TG07K3105</t>
  </si>
  <si>
    <t>TG07</t>
  </si>
  <si>
    <t>24X7 TRANSLINES</t>
  </si>
  <si>
    <t>6303209854</t>
  </si>
  <si>
    <t>BHARAT BENZ</t>
  </si>
  <si>
    <t>917/34- 38/Closed/Bus</t>
  </si>
  <si>
    <t>TS07UFF3701</t>
  </si>
  <si>
    <t>AIKYAM INFRA</t>
  </si>
  <si>
    <t>6204970971</t>
  </si>
  <si>
    <t>2.0 R DYNAMIC HSE DIESEL 180</t>
  </si>
  <si>
    <t>TG07K0006</t>
  </si>
  <si>
    <t>SURESH KUMAR PARUCHURI</t>
  </si>
  <si>
    <t>6204975069</t>
  </si>
  <si>
    <t>VENUE 1.2 KAPPA MT S</t>
  </si>
  <si>
    <t xml:space="preserve"> TS05FN3578</t>
  </si>
  <si>
    <t>TS05</t>
  </si>
  <si>
    <t>KOUSHIK DECONDA</t>
  </si>
  <si>
    <t>201150010225700110900000</t>
  </si>
  <si>
    <t>/GLC CLASS/200 4MATIC</t>
  </si>
  <si>
    <t>TS10EY0006</t>
  </si>
  <si>
    <t>NAGA VAMSI SURYADEVARA</t>
  </si>
  <si>
    <t>202550010225700054300000</t>
  </si>
  <si>
    <t>HYCROSS/ZX HYBRID 7 STR</t>
  </si>
  <si>
    <t>TS09GD0299</t>
  </si>
  <si>
    <t>U V RAO &amp; CO</t>
  </si>
  <si>
    <t xml:space="preserve">6303214174 </t>
  </si>
  <si>
    <t>SML ISUZU</t>
  </si>
  <si>
    <t>S7/BUS 53 STR PARTIALLY/Closed/ BUS</t>
  </si>
  <si>
    <t>TS28TA0401</t>
  </si>
  <si>
    <t>TS28</t>
  </si>
  <si>
    <t>SIRISAMPADA FARM LANDS PRIVATE LIMITED</t>
  </si>
  <si>
    <t>201150010225700111600000</t>
  </si>
  <si>
    <t>CR ETA/CRDI 1.6 SX</t>
  </si>
  <si>
    <t>TS09FK3333</t>
  </si>
  <si>
    <t>SIDDU SUGUNA</t>
  </si>
  <si>
    <t>6204977630</t>
  </si>
  <si>
    <t>MARUTI/WAGON R</t>
  </si>
  <si>
    <t>1.2 ZXI PLUS</t>
  </si>
  <si>
    <t>TS06FB6719</t>
  </si>
  <si>
    <t>TS06</t>
  </si>
  <si>
    <t>VISWAJIT INDUSTRIAL</t>
  </si>
  <si>
    <t>TW Package Policy</t>
  </si>
  <si>
    <t>3005/400062159/00/B00</t>
  </si>
  <si>
    <t>DUCATI</t>
  </si>
  <si>
    <t>959 PANIGALE</t>
  </si>
  <si>
    <t>TS08FF8888</t>
  </si>
  <si>
    <t>MD ASEEM</t>
  </si>
  <si>
    <t>VE089221</t>
  </si>
  <si>
    <t>MARUTI SUZ</t>
  </si>
  <si>
    <t>VITARA BREZZAVDI</t>
  </si>
  <si>
    <t>TS07FQ6998</t>
  </si>
  <si>
    <t>RAJEEV KUMAR THALLAM</t>
  </si>
  <si>
    <t>201150010225700111700000</t>
  </si>
  <si>
    <t>WAG ON R/LXI CNG (O)</t>
  </si>
  <si>
    <t>AP16FE5788</t>
  </si>
  <si>
    <t>CNG</t>
  </si>
  <si>
    <t>AP16</t>
  </si>
  <si>
    <t>TKR EDUCATIONAL SOCIETY</t>
  </si>
  <si>
    <t>201150010225700112700000</t>
  </si>
  <si>
    <t>LAND ROVER/RANG E ROVER</t>
  </si>
  <si>
    <t>SPORT/3.0 DIESEL HSE SILVER</t>
  </si>
  <si>
    <t>TS07HV9999</t>
  </si>
  <si>
    <t>PADMANABH REDDY MREDDY</t>
  </si>
  <si>
    <t>201150010225700111800000</t>
  </si>
  <si>
    <t>MERCEDESBENZ/GLE</t>
  </si>
  <si>
    <t>CLASS/250 D</t>
  </si>
  <si>
    <t>TS09FG9063</t>
  </si>
  <si>
    <t>TALARI MANJULA</t>
  </si>
  <si>
    <t>6104672079</t>
  </si>
  <si>
    <t>TVS/JUPITER</t>
  </si>
  <si>
    <t>110 DRUM</t>
  </si>
  <si>
    <t>TS15EZ5290</t>
  </si>
  <si>
    <t>TS15</t>
  </si>
  <si>
    <t>KV ACHARYA</t>
  </si>
  <si>
    <t>KOTTUR BHARATHI</t>
  </si>
  <si>
    <t>3005/400110774/00/B00</t>
  </si>
  <si>
    <t>ROYAL ENFIELD</t>
  </si>
  <si>
    <t>INTERCEPTOR 650</t>
  </si>
  <si>
    <t>TS09FE8888</t>
  </si>
  <si>
    <t>VASAMSETTY VENKATARAMANA SASHIDHAR</t>
  </si>
  <si>
    <t>3001/400113390/00/000</t>
  </si>
  <si>
    <t>XUV 300 1.2 W6</t>
  </si>
  <si>
    <t>TS07HU4666</t>
  </si>
  <si>
    <t>Kamlesh</t>
  </si>
  <si>
    <t>VANGETI SHRUTHI</t>
  </si>
  <si>
    <t>201150010225700113000000</t>
  </si>
  <si>
    <t>KIA/SONET</t>
  </si>
  <si>
    <t>GTX PLUS 1.5</t>
  </si>
  <si>
    <t>TS08JK5115</t>
  </si>
  <si>
    <t>OM PROJECTS</t>
  </si>
  <si>
    <t xml:space="preserve">201150010225700112900000 </t>
  </si>
  <si>
    <t>BALENO/ALPHA 1.2</t>
  </si>
  <si>
    <t>TS09FH4813</t>
  </si>
  <si>
    <t>SRIKANTH ANANTHOJU</t>
  </si>
  <si>
    <t>132/02/11/0726/MTP/0000215038</t>
  </si>
  <si>
    <t>HONDA JAZZ</t>
  </si>
  <si>
    <t>1.2 V CVT PETROL</t>
  </si>
  <si>
    <t>TS07FN9787</t>
  </si>
  <si>
    <t>GNAPIKA ENTERTAINMENTS PRIVATE LIMITED</t>
  </si>
  <si>
    <t>VE092382</t>
  </si>
  <si>
    <t>LAND ROVER</t>
  </si>
  <si>
    <t>RANGE ROVER SPORT HSE 2.0 PETROL</t>
  </si>
  <si>
    <t>TS09FX1122</t>
  </si>
  <si>
    <t>BOMBAY BAR AND RESTAURANT</t>
  </si>
  <si>
    <t>6204990128</t>
  </si>
  <si>
    <t>Sportz 1.2 IVT</t>
  </si>
  <si>
    <t>TS09GD0750</t>
  </si>
  <si>
    <t>POLISETTY SOMASUNDARAM</t>
  </si>
  <si>
    <t>HDFC ERGO General Insurance Co Ltd</t>
  </si>
  <si>
    <t>2302207565109700000</t>
  </si>
  <si>
    <t>MERCEDES-BENZ</t>
  </si>
  <si>
    <t>S-CLASS-S 400 D 4MATIC</t>
  </si>
  <si>
    <t>AP39KG4444</t>
  </si>
  <si>
    <t>AP39</t>
  </si>
  <si>
    <t>AKASH NARAYANAM</t>
  </si>
  <si>
    <t>VE093377</t>
  </si>
  <si>
    <t>MAHINDRA SCORPIO</t>
  </si>
  <si>
    <t>NZ4 DIESEL AT 2WD 7 STR</t>
  </si>
  <si>
    <t>TS07JZ2227</t>
  </si>
  <si>
    <t>RONALD RAJAN NAYAGAM</t>
  </si>
  <si>
    <t>PVT Car TP</t>
  </si>
  <si>
    <t>201550010225700040200000</t>
  </si>
  <si>
    <t>MITSUBISHI</t>
  </si>
  <si>
    <t>CEDIA/NEW SPORTS</t>
  </si>
  <si>
    <t>KA51MB9391</t>
  </si>
  <si>
    <t>KA51</t>
  </si>
  <si>
    <t>M Vikram</t>
  </si>
  <si>
    <t>Health</t>
  </si>
  <si>
    <t>Fresh Policy</t>
  </si>
  <si>
    <t>7330041148</t>
  </si>
  <si>
    <t>NA</t>
  </si>
  <si>
    <t>MANNEMUDDU VASANTH KUMAR</t>
  </si>
  <si>
    <t>Niva Bupa Health Insurance Co Ltd</t>
  </si>
  <si>
    <t>FRESH</t>
  </si>
  <si>
    <t>36485844202500</t>
  </si>
  <si>
    <t>SURYA AGARWAL</t>
  </si>
  <si>
    <t>VE094541</t>
  </si>
  <si>
    <t>SKODA</t>
  </si>
  <si>
    <t>SUPERBSPORTLINE TSI AT</t>
  </si>
  <si>
    <t>TS09FQ1122</t>
  </si>
  <si>
    <t>VASA PRUDHVI KUMAR</t>
  </si>
  <si>
    <t>230220757136640000</t>
  </si>
  <si>
    <t>NSPR CONSTRUCTIONS INDIA PRIVATE LIMITED</t>
  </si>
  <si>
    <t>201150010225700115500000</t>
  </si>
  <si>
    <t>MERCEDES BENZ</t>
  </si>
  <si>
    <t>GLS CLASS/400 D 4MATIC</t>
  </si>
  <si>
    <t>TS09FN0999</t>
  </si>
  <si>
    <t>DR VRK EDUCATIONAL SOCIETY</t>
  </si>
  <si>
    <t>3001/O/400568844/00/000</t>
  </si>
  <si>
    <t>DEFENDER 3.0L 130 X</t>
  </si>
  <si>
    <t>TS13FA0786</t>
  </si>
  <si>
    <t>TS13</t>
  </si>
  <si>
    <t>CARSNOW</t>
  </si>
  <si>
    <t>REVA CORPORATE SERVICES PRIVATE LIMITED</t>
  </si>
  <si>
    <t>2302207571750000000</t>
  </si>
  <si>
    <t>DEFENDER-2.0L 110 SE PETROL 5 STR</t>
  </si>
  <si>
    <t>AP40DE5678</t>
  </si>
  <si>
    <t>AP40</t>
  </si>
  <si>
    <t>KATIKANENI HOTELS AND RESORTS</t>
  </si>
  <si>
    <t>201150010225700115600000</t>
  </si>
  <si>
    <t>RANGE ROVER SPORT 3.0 TDV6</t>
  </si>
  <si>
    <t>TS09FH0008</t>
  </si>
  <si>
    <t>CH SRISAILAM</t>
  </si>
  <si>
    <t>VE097032</t>
  </si>
  <si>
    <t>TOYOTA</t>
  </si>
  <si>
    <t>INNOVA CRYSTA2.8 Z 7STR</t>
  </si>
  <si>
    <t>TS07FZ5252</t>
  </si>
  <si>
    <t>HARSHAVARDHAN MOGAL GIDDI</t>
  </si>
  <si>
    <t>3001/400654344/00/B00</t>
  </si>
  <si>
    <t>MERCEDES</t>
  </si>
  <si>
    <t>EQB 350 4MATIC</t>
  </si>
  <si>
    <t>TG07AE0007</t>
  </si>
  <si>
    <t>PRANAY CHENNURI</t>
  </si>
  <si>
    <t>201150010225700116500000</t>
  </si>
  <si>
    <t>SKODA/RAPID</t>
  </si>
  <si>
    <t>1.6 MPI STYLE AT</t>
  </si>
  <si>
    <t>TS09FD5959</t>
  </si>
  <si>
    <t>ARUNDA ASHANNAGARI</t>
  </si>
  <si>
    <t>37129738202500</t>
  </si>
  <si>
    <t>SHAIK MAHABOOB VALI</t>
  </si>
  <si>
    <t>6205004331</t>
  </si>
  <si>
    <t>MAHINDRA &amp; MAHINDRA/XUV 700</t>
  </si>
  <si>
    <t>AX 7 DIESEL MT 7 SEATER</t>
  </si>
  <si>
    <t>Sirigiri Ravindra Shekar</t>
  </si>
  <si>
    <t>Renewal Policy</t>
  </si>
  <si>
    <t>7030046521</t>
  </si>
  <si>
    <t>KATARI STEPHEN CALVIN</t>
  </si>
  <si>
    <t>VE099043</t>
  </si>
  <si>
    <t>KIA SELTOSHTK</t>
  </si>
  <si>
    <t>SMARTSTREAM G1.5 6MT</t>
  </si>
  <si>
    <t>TS10EY0028</t>
  </si>
  <si>
    <t>CHANDANA PANDIT</t>
  </si>
  <si>
    <t>201150010225700117900000</t>
  </si>
  <si>
    <t>VOLKSWAGE</t>
  </si>
  <si>
    <t>AMEO/COM FORTLINE 1.2L (P)</t>
  </si>
  <si>
    <t>TS07FH5995</t>
  </si>
  <si>
    <t>SHABANA PATNI</t>
  </si>
  <si>
    <t>202550010225700055300000</t>
  </si>
  <si>
    <t>HECTOR/SAVVY PRO 1.5 TURBO CVT</t>
  </si>
  <si>
    <t>GJ01WM0048</t>
  </si>
  <si>
    <t>GJ01</t>
  </si>
  <si>
    <t>SAMA SHYAM SUNDER REDDY</t>
  </si>
  <si>
    <t>3001/400810874/00/000</t>
  </si>
  <si>
    <t>E 220 D</t>
  </si>
  <si>
    <t>TS07HW4444</t>
  </si>
  <si>
    <t>AMIT BHADANI</t>
  </si>
  <si>
    <t>3001/400812818/00/000</t>
  </si>
  <si>
    <t>VENUE 1.0 TURBO GDI DCT SX PLUS</t>
  </si>
  <si>
    <t>CG04NL7002</t>
  </si>
  <si>
    <t>CG04</t>
  </si>
  <si>
    <t>NAGA VENKATA ANJANA SRIKANTH KONDUR</t>
  </si>
  <si>
    <t>201150010225700118100000</t>
  </si>
  <si>
    <t>MAHINDRA &amp; MAHINDRA</t>
  </si>
  <si>
    <t>X UV 300/1.5 W</t>
  </si>
  <si>
    <t>AP39KL1213</t>
  </si>
  <si>
    <t>SIRI PIPES</t>
  </si>
  <si>
    <t>2302207581188800000</t>
  </si>
  <si>
    <t>DISCOVERY SPORT-2.0L R DYNAMIC SE DIESE</t>
  </si>
  <si>
    <t>AP39HK6869</t>
  </si>
  <si>
    <t>NARSIMHA KAVATI</t>
  </si>
  <si>
    <t>202550010225700055400000</t>
  </si>
  <si>
    <t>TATA MOTORS</t>
  </si>
  <si>
    <t>NEXON/CREATIVE PLUS 1.5 REVOTORQ DIESEL 6AMT</t>
  </si>
  <si>
    <t>TG305482</t>
  </si>
  <si>
    <t>TG30</t>
  </si>
  <si>
    <t>SVJ PROJECTS LLP</t>
  </si>
  <si>
    <t>6205021959</t>
  </si>
  <si>
    <t>TOYOTA/FORTUNER</t>
  </si>
  <si>
    <t>LEGENDER 4X4 NEODRIVE AT 48V</t>
  </si>
  <si>
    <t>KRISH WORLD INFRACON</t>
  </si>
  <si>
    <t>6205023685</t>
  </si>
  <si>
    <t>LAND ROVER/DEFENDER</t>
  </si>
  <si>
    <t>110 HSE</t>
  </si>
  <si>
    <t>TG07J0999</t>
  </si>
  <si>
    <t>431500/31/2026/1599</t>
  </si>
  <si>
    <t>INNOVA</t>
  </si>
  <si>
    <t>2.5G</t>
  </si>
  <si>
    <t>TS09UD5308</t>
  </si>
  <si>
    <t>SRI KRISHAN AGARWAL</t>
  </si>
  <si>
    <t>201150010225700119000000</t>
  </si>
  <si>
    <t>HONDA/CITY</t>
  </si>
  <si>
    <t>1.5 S MT</t>
  </si>
  <si>
    <t>AP09CF3603</t>
  </si>
  <si>
    <t>AP09</t>
  </si>
  <si>
    <t>AVINASH AGARWAL</t>
  </si>
  <si>
    <t>ABHISHEK AGARWAL</t>
  </si>
  <si>
    <t>201150010225700119100000</t>
  </si>
  <si>
    <t>100/MFALCON G80 K8 DUAL TONE</t>
  </si>
  <si>
    <t>TS09EN3603</t>
  </si>
  <si>
    <t>6205020917</t>
  </si>
  <si>
    <t>FORD/ENDEAVOUR</t>
  </si>
  <si>
    <t>TITANIUM PLUS 2.2 4X2 AT</t>
  </si>
  <si>
    <t>TS09FH3603</t>
  </si>
  <si>
    <t>MULINTI ARUNA</t>
  </si>
  <si>
    <t>201150010225700119800000</t>
  </si>
  <si>
    <t>TS10FC9918</t>
  </si>
  <si>
    <t>SECUNDERABAD HOTELS PVT LTD</t>
  </si>
  <si>
    <t>3001/O/401077040/00/000</t>
  </si>
  <si>
    <t>JAGUAR</t>
  </si>
  <si>
    <t>F TYPE CONVERTIBLE</t>
  </si>
  <si>
    <t>HP38J4455</t>
  </si>
  <si>
    <t>HP38</t>
  </si>
  <si>
    <t>KIRAN JETTA</t>
  </si>
  <si>
    <t>202550010225700055900000</t>
  </si>
  <si>
    <t xml:space="preserve">MARUTI </t>
  </si>
  <si>
    <t>BALENO/DELTA 1.2</t>
  </si>
  <si>
    <t>TS30L3682</t>
  </si>
  <si>
    <t>TS30</t>
  </si>
  <si>
    <t>M S G BUILDERS &amp; DEVELOPERS</t>
  </si>
  <si>
    <t>201150010225700120700000</t>
  </si>
  <si>
    <t>RANGE ROVER VERLA DYNAMIC PETROL 250</t>
  </si>
  <si>
    <t>TS08HK9999</t>
  </si>
  <si>
    <t>J ABHILASH REDDY</t>
  </si>
  <si>
    <t>GCV</t>
  </si>
  <si>
    <t>6303242974</t>
  </si>
  <si>
    <t>MAHINDRA/JEETO</t>
  </si>
  <si>
    <t>OPEN/PICK UP VAN</t>
  </si>
  <si>
    <t>TS07UK6217</t>
  </si>
  <si>
    <t>R IBRAHIM KHAN MD</t>
  </si>
  <si>
    <t>132/18/11/0726/MOD/000022069</t>
  </si>
  <si>
    <t>MAHINDRA AND MAHINDRA</t>
  </si>
  <si>
    <t>SCORPIO N Z8 SELECT DIESEL</t>
  </si>
  <si>
    <t>TG07G4801</t>
  </si>
  <si>
    <t>GORLA DEEPAK YADAV</t>
  </si>
  <si>
    <t>VE106886</t>
  </si>
  <si>
    <t>TOYOTA INNOVA CRYSTA</t>
  </si>
  <si>
    <t>2.4 V</t>
  </si>
  <si>
    <t>TS09FL8415</t>
  </si>
  <si>
    <t>ATCHUTA RAO BOPPANA</t>
  </si>
  <si>
    <t>201150010225700121400000</t>
  </si>
  <si>
    <t>TOYOTA/URBAN</t>
  </si>
  <si>
    <t>CRUISER/PREMIUM GRADE</t>
  </si>
  <si>
    <t>TS09FS4777</t>
  </si>
  <si>
    <t>NANDINI REDDY VARANASI</t>
  </si>
  <si>
    <t>201150010225700120900000</t>
  </si>
  <si>
    <t>HYUNDAI/GRAND</t>
  </si>
  <si>
    <t xml:space="preserve">I10/MAGNA KAPPA </t>
  </si>
  <si>
    <t>TS09FG9864</t>
  </si>
  <si>
    <t>YELTI PRADEEP REDDY</t>
  </si>
  <si>
    <t>6205038304</t>
  </si>
  <si>
    <t>XEV 9E PACK THREE</t>
  </si>
  <si>
    <t>Naga sadidhar</t>
  </si>
  <si>
    <t>BONGARALA RAMESH</t>
  </si>
  <si>
    <t>VE107796</t>
  </si>
  <si>
    <t>MARUTI SUZ VITARA</t>
  </si>
  <si>
    <t>BREZZAZDI PLUS</t>
  </si>
  <si>
    <t>TS08GN5499</t>
  </si>
  <si>
    <t>SYAMALA RAKOTI</t>
  </si>
  <si>
    <t>202550010225700056700000</t>
  </si>
  <si>
    <t>PUNCH AMT</t>
  </si>
  <si>
    <t>AP40L9456</t>
  </si>
  <si>
    <t>SIREESAH</t>
  </si>
  <si>
    <t>PARAMESHWARA RAO YARRA</t>
  </si>
  <si>
    <t>201150010225700123600000</t>
  </si>
  <si>
    <t>KIA/CARENS</t>
  </si>
  <si>
    <t>PRESTIGE DIESEL 7 STR</t>
  </si>
  <si>
    <t>TS07JH3222</t>
  </si>
  <si>
    <t>MARINGANTI SRAVAN KUMAR CHARYULU</t>
  </si>
  <si>
    <t>6205044656</t>
  </si>
  <si>
    <t>KIA/SYROS</t>
  </si>
  <si>
    <t>HTK PLUS 1.0 TURBO 6MT</t>
  </si>
  <si>
    <t>MADHA NARESH</t>
  </si>
  <si>
    <t xml:space="preserve">2011­500102­25­1000279­00­000 </t>
  </si>
  <si>
    <t>MARUTI/BALENO ZETA</t>
  </si>
  <si>
    <t>1.2/Hatch Back </t>
  </si>
  <si>
    <t>AP04BE9791</t>
  </si>
  <si>
    <t>AP04</t>
  </si>
  <si>
    <t>RUTH FLORENCE NIGHTINGALE</t>
  </si>
  <si>
    <t>6205042529</t>
  </si>
  <si>
    <t>TOYOTA/URBAN CRUISER HYRYDER</t>
  </si>
  <si>
    <t>G HYBRID</t>
  </si>
  <si>
    <t>LENKAPPALLY RAMACHANDRUDU</t>
  </si>
  <si>
    <t>6205046057</t>
  </si>
  <si>
    <t>MARUTI/ERTIGA</t>
  </si>
  <si>
    <t>SMART HYBRID ZXI PLUS AT 1.5</t>
  </si>
  <si>
    <t>TS33G8094</t>
  </si>
  <si>
    <t>TS33</t>
  </si>
  <si>
    <t>NAGA SASIDHAR</t>
  </si>
  <si>
    <t>35393779202500</t>
  </si>
  <si>
    <t>PARUCHURI LALLU PRASAD</t>
  </si>
  <si>
    <t>201150010225700124600000</t>
  </si>
  <si>
    <t>MAHINDRA &amp;MAHINDRA</t>
  </si>
  <si>
    <t>THAR/ CONVERTIBLE TOP DIESEL</t>
  </si>
  <si>
    <t>TS33F9781</t>
  </si>
  <si>
    <t>SUNIL ADAP</t>
  </si>
  <si>
    <t>201150010225700124100000</t>
  </si>
  <si>
    <t>CELERIO/ZXI AMT O</t>
  </si>
  <si>
    <t>TS08FH5943</t>
  </si>
  <si>
    <t>SARDAR MANJOTH SINGH</t>
  </si>
  <si>
    <t>202550010225700057000000</t>
  </si>
  <si>
    <t>F- PACE DYNAMIC S 2.0 DIESEL</t>
  </si>
  <si>
    <t>TS09GE0051</t>
  </si>
  <si>
    <t>SIRISAMPADA FARM LANDS PVT LTD</t>
  </si>
  <si>
    <t>3001/401756493/00/000</t>
  </si>
  <si>
    <t>INNOVA CRYSTA 2.8 Z 7 STR</t>
  </si>
  <si>
    <t>TS13EK0333</t>
  </si>
  <si>
    <t>TRAILS</t>
  </si>
  <si>
    <t>620176056102</t>
  </si>
  <si>
    <t>PORSCHE</t>
  </si>
  <si>
    <t>MACAN PETROL R4</t>
  </si>
  <si>
    <t>TS07HF0001</t>
  </si>
  <si>
    <t>SAURABH SHARMA</t>
  </si>
  <si>
    <t>TW SAOD Policy</t>
  </si>
  <si>
    <t>431500/31/2026/1699</t>
  </si>
  <si>
    <t>TRIUMPH MOTORCYCLES</t>
  </si>
  <si>
    <t>TIGER 850 SPORT</t>
  </si>
  <si>
    <t>TS07HU6845</t>
  </si>
  <si>
    <t>RETRO</t>
  </si>
  <si>
    <t>CANDICE BIJU MATHEW</t>
  </si>
  <si>
    <t>431500/31/2026/1676</t>
  </si>
  <si>
    <t>OMNI E MPI STD 8 STR</t>
  </si>
  <si>
    <t>AP09CS0652</t>
  </si>
  <si>
    <t>HARIKA DRONAVALLI</t>
  </si>
  <si>
    <t>201150010225700125400000</t>
  </si>
  <si>
    <t>JAGUAR/F TYPE</t>
  </si>
  <si>
    <t>PACE/PETROL PRESTIGE</t>
  </si>
  <si>
    <t>TS07HK0222</t>
  </si>
  <si>
    <t>RAJITHA BOKKA</t>
  </si>
  <si>
    <t>201150010225700124900000</t>
  </si>
  <si>
    <t>MG MOTOR/HECTOR SHARP 1.5 PETROL</t>
  </si>
  <si>
    <t>SHARP 1.5 PETROL CVT</t>
  </si>
  <si>
    <t>TS11EY0006</t>
  </si>
  <si>
    <t>STONE CRAFT PROPERTIES LLP</t>
  </si>
  <si>
    <t>3001/O/401933181/00/000</t>
  </si>
  <si>
    <t>RANGE ROVER SPORT 3.0 D HSE DYNAMIC</t>
  </si>
  <si>
    <t>TS09GE0023</t>
  </si>
  <si>
    <t>VENUMBAKA SRINATH REDDY</t>
  </si>
  <si>
    <t>202550010225700057500000</t>
  </si>
  <si>
    <t>KIA/SELTOS</t>
  </si>
  <si>
    <t>GTX PLUS PETROL DCT</t>
  </si>
  <si>
    <t>TG08E3323</t>
  </si>
  <si>
    <t>BENADICT ANTHONY REDDY YENNAM</t>
  </si>
  <si>
    <t>6205061058</t>
  </si>
  <si>
    <t>TOYOTA/INNOVA CRYSTA</t>
  </si>
  <si>
    <t>TOURING SPORT AT</t>
  </si>
  <si>
    <t>TS09FH2579</t>
  </si>
  <si>
    <t>MANTHURTHI RAKESH</t>
  </si>
  <si>
    <t>201150010225700126400000</t>
  </si>
  <si>
    <t>HYUNDAI/I10</t>
  </si>
  <si>
    <t>1.2 MAGNA</t>
  </si>
  <si>
    <t>AP29AZ4085</t>
  </si>
  <si>
    <t>AP29</t>
  </si>
  <si>
    <t>NAVALKISHORE AGARWAL</t>
  </si>
  <si>
    <t>VE114896</t>
  </si>
  <si>
    <t>TOYOTA FORTUNER</t>
  </si>
  <si>
    <t>2.8 4X4 at</t>
  </si>
  <si>
    <t>TS09FX9900</t>
  </si>
  <si>
    <t>431500/31/2026/1744</t>
  </si>
  <si>
    <t>TOYOTA INNOVA</t>
  </si>
  <si>
    <t>CRYSTA 2.4 GX</t>
  </si>
  <si>
    <t>6301925009</t>
  </si>
  <si>
    <t>EICHER MOTORS/10.9</t>
  </si>
  <si>
    <t>0/24-28/Closed/Bus</t>
  </si>
  <si>
    <t>TS15UD3412</t>
  </si>
  <si>
    <t>6303258877</t>
  </si>
  <si>
    <t>EICHER/PRO 3010/L DIE</t>
  </si>
  <si>
    <t>SELBUS/Closed/BUS</t>
  </si>
  <si>
    <t>KATHARI NARESHSINGH R</t>
  </si>
  <si>
    <t>34752756202500</t>
  </si>
  <si>
    <t>Vankudoth Ashok</t>
  </si>
  <si>
    <t>7330051032</t>
  </si>
  <si>
    <t>Vankudothu Bixapathi</t>
  </si>
  <si>
    <t>7330051089</t>
  </si>
  <si>
    <t>NARAYANA RETTIGANTI</t>
  </si>
  <si>
    <t>431500/31/2026/1752</t>
  </si>
  <si>
    <t>LTD-SPEED TWIN-1200</t>
  </si>
  <si>
    <t>NAVEEN CHITTULURU</t>
  </si>
  <si>
    <t xml:space="preserve"> 3102382595</t>
  </si>
  <si>
    <t>NISSAN/SUNNY / XE</t>
  </si>
  <si>
    <t>TS07GM469</t>
  </si>
  <si>
    <t> 1461</t>
  </si>
  <si>
    <t>K SRIDEVI</t>
  </si>
  <si>
    <t>6205066619</t>
  </si>
  <si>
    <t>AUDI/A4</t>
  </si>
  <si>
    <t>40 TFSI TECHNOLOGY</t>
  </si>
  <si>
    <t>PIPPIRI SHARADA</t>
  </si>
  <si>
    <t>6205067128</t>
  </si>
  <si>
    <t>MAHINDRA &amp; MAHINDRA LTD</t>
  </si>
  <si>
    <t>XUV700 AX7 L DSL AT</t>
  </si>
  <si>
    <t>AJAY SAINI</t>
  </si>
  <si>
    <t>VE116458</t>
  </si>
  <si>
    <t>SKODA KUSHAQAMBITION</t>
  </si>
  <si>
    <t>1.0L TSI AT</t>
  </si>
  <si>
    <t>TS08HU2777</t>
  </si>
  <si>
    <t>HEMA BEZAWADA</t>
  </si>
  <si>
    <t>6205068450</t>
  </si>
  <si>
    <t>MORRIS GARAGES/WINDSOR EV</t>
  </si>
  <si>
    <t>EXCLUSIVE BATTERY</t>
  </si>
  <si>
    <t>ASK HOLDINGS</t>
  </si>
  <si>
    <t>201150010225700126700000</t>
  </si>
  <si>
    <t>E CLASS/E 220D</t>
  </si>
  <si>
    <t>ANILBABU KURMA</t>
  </si>
  <si>
    <t>431500/31/2026/1761</t>
  </si>
  <si>
    <t>TIGER-900</t>
  </si>
  <si>
    <t>TS08JB2190</t>
  </si>
  <si>
    <t>KINGS RADIO EXIM PRIVATE LIMITED</t>
  </si>
  <si>
    <t>01643961480000</t>
  </si>
  <si>
    <t>ROLLS ROYCE CULLIANAN</t>
  </si>
  <si>
    <t>TV 42RHD</t>
  </si>
  <si>
    <t>TG03A0306</t>
  </si>
  <si>
    <t>TG03</t>
  </si>
  <si>
    <t>SUBASH NEUPANE</t>
  </si>
  <si>
    <t>Renewal</t>
  </si>
  <si>
    <t>35627854202500</t>
  </si>
  <si>
    <t>DASARI VEENA RAGA SPANDANA</t>
  </si>
  <si>
    <t xml:space="preserve">202550010225100008600000  </t>
  </si>
  <si>
    <t>MG MOTOR/COMET</t>
  </si>
  <si>
    <t>ELECTRIC PLUSH/Hatch Back</t>
  </si>
  <si>
    <t>TS07KB1445</t>
  </si>
  <si>
    <t>TANNERU SRINIVASA RAO</t>
  </si>
  <si>
    <t>VE106478</t>
  </si>
  <si>
    <t>TS08FN6526</t>
  </si>
  <si>
    <t>KALERU PRANAY</t>
  </si>
  <si>
    <t>VE106355</t>
  </si>
  <si>
    <t>MAHINDRA THARLX P AT</t>
  </si>
  <si>
    <t>4WD 4S HT</t>
  </si>
  <si>
    <t>TS11EY6008</t>
  </si>
  <si>
    <t>KRISHNA THEJ ARRVAPALLI</t>
  </si>
  <si>
    <t>201150010225700115300000</t>
  </si>
  <si>
    <t>FORD/ECOSPO</t>
  </si>
  <si>
    <t>TITANIUM PLUS M</t>
  </si>
  <si>
    <t>TS07GT7913</t>
  </si>
  <si>
    <t>RAJASHEKAR MAMIDALA</t>
  </si>
  <si>
    <t>201150010225700119200000</t>
  </si>
  <si>
    <t>MARUTI/SWIFT</t>
  </si>
  <si>
    <t>T/1.2 VXI</t>
  </si>
  <si>
    <t>TS07HS8879</t>
  </si>
  <si>
    <t>RNZ TRAVELS</t>
  </si>
  <si>
    <t>6204964894</t>
  </si>
  <si>
    <t>HYCROSS</t>
  </si>
  <si>
    <t>Policy_pdf</t>
  </si>
  <si>
    <t>Mail</t>
  </si>
  <si>
    <t xml:space="preserve">Phone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</si>
</sst>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9"/>
      <color rgb="FF000000"/>
      <name val="Arial"/>
      <family val="2"/>
    </font>
    <font>
      <b/>
      <sz val="10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17" fontId="1" fillId="2" borderId="1" xfId="0" applyNumberFormat="1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2" fontId="2" fillId="3" borderId="1" xfId="0" applyNumberFormat="1" applyFont="1" applyFill="1" applyBorder="1" applyAlignment="1">
      <alignment vertical="center" wrapText="1"/>
    </xf>
    <xf numFmtId="2" fontId="2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7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0" fontId="0" fillId="0" borderId="0" xfId="0" quotePrefix="1"/>
    <xf numFmtId="3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4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E97A-7FF6-453C-A489-0B643BC4E41F}">
  <dimension ref="A1:AA131"/>
  <sheetViews>
    <sheetView tabSelected="1" topLeftCell="E1" workbookViewId="0">
      <selection activeCell="R9" sqref="R9"/>
    </sheetView>
  </sheetViews>
  <sheetFormatPr defaultRowHeight="14.4" x14ac:dyDescent="0.3"/>
  <sheetData>
    <row r="1" spans="1:27" ht="43.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1" t="s">
        <v>14</v>
      </c>
      <c r="P1" s="1" t="s">
        <v>15</v>
      </c>
      <c r="Q1" s="1" t="s">
        <v>16</v>
      </c>
      <c r="R1" s="7" t="s">
        <v>17</v>
      </c>
      <c r="S1" s="8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9" t="s">
        <v>23</v>
      </c>
      <c r="Y1" s="20" t="s">
        <v>660</v>
      </c>
      <c r="Z1" s="21" t="s">
        <v>661</v>
      </c>
      <c r="AA1" s="21" t="s">
        <v>662</v>
      </c>
    </row>
    <row r="2" spans="1:27" x14ac:dyDescent="0.3">
      <c r="A2">
        <v>1</v>
      </c>
      <c r="B2" s="10">
        <v>45839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s="11">
        <v>46204</v>
      </c>
      <c r="I2">
        <v>16043</v>
      </c>
      <c r="J2">
        <v>16043</v>
      </c>
      <c r="K2">
        <v>0</v>
      </c>
      <c r="L2">
        <f t="shared" ref="L2:L65" si="0">J2+K2</f>
        <v>16043</v>
      </c>
      <c r="M2" s="12">
        <f>(L2)+(L2*18%)</f>
        <v>18930.739999999998</v>
      </c>
      <c r="N2" s="13">
        <v>0.25</v>
      </c>
      <c r="O2" s="14" t="s">
        <v>29</v>
      </c>
      <c r="P2" t="s">
        <v>30</v>
      </c>
      <c r="Q2" t="s">
        <v>31</v>
      </c>
      <c r="T2" t="s">
        <v>32</v>
      </c>
      <c r="U2">
        <v>1497</v>
      </c>
      <c r="V2" t="s">
        <v>33</v>
      </c>
      <c r="W2" t="s">
        <v>34</v>
      </c>
      <c r="X2" t="s">
        <v>35</v>
      </c>
    </row>
    <row r="3" spans="1:27" x14ac:dyDescent="0.3">
      <c r="A3">
        <v>2</v>
      </c>
      <c r="B3" s="10">
        <v>45839</v>
      </c>
      <c r="C3" t="s">
        <v>36</v>
      </c>
      <c r="D3" t="s">
        <v>25</v>
      </c>
      <c r="E3" t="s">
        <v>26</v>
      </c>
      <c r="F3" t="s">
        <v>37</v>
      </c>
      <c r="G3" t="s">
        <v>28</v>
      </c>
      <c r="H3" s="11">
        <v>46206</v>
      </c>
      <c r="I3">
        <v>4751</v>
      </c>
      <c r="J3">
        <v>4751</v>
      </c>
      <c r="K3">
        <v>4141</v>
      </c>
      <c r="L3">
        <f t="shared" si="0"/>
        <v>8892</v>
      </c>
      <c r="M3" s="12">
        <f t="shared" ref="M3:M66" si="1">(L3)+(L3*18%)</f>
        <v>10492.56</v>
      </c>
      <c r="N3" s="13">
        <v>0.45</v>
      </c>
      <c r="O3" s="14" t="s">
        <v>38</v>
      </c>
      <c r="P3" t="s">
        <v>39</v>
      </c>
      <c r="Q3" t="s">
        <v>40</v>
      </c>
      <c r="T3" t="s">
        <v>41</v>
      </c>
      <c r="U3">
        <v>1198</v>
      </c>
      <c r="V3" t="s">
        <v>33</v>
      </c>
      <c r="W3" t="s">
        <v>34</v>
      </c>
      <c r="X3" t="s">
        <v>42</v>
      </c>
    </row>
    <row r="4" spans="1:27" x14ac:dyDescent="0.3">
      <c r="A4">
        <v>3</v>
      </c>
      <c r="B4" s="10">
        <v>45839</v>
      </c>
      <c r="C4" t="s">
        <v>43</v>
      </c>
      <c r="D4" t="s">
        <v>25</v>
      </c>
      <c r="E4" t="s">
        <v>26</v>
      </c>
      <c r="F4" t="s">
        <v>27</v>
      </c>
      <c r="G4" t="s">
        <v>28</v>
      </c>
      <c r="H4" s="11">
        <v>46212</v>
      </c>
      <c r="I4">
        <v>17714</v>
      </c>
      <c r="J4">
        <v>17714</v>
      </c>
      <c r="K4">
        <v>0</v>
      </c>
      <c r="L4">
        <f t="shared" si="0"/>
        <v>17714</v>
      </c>
      <c r="M4" s="12">
        <f t="shared" si="1"/>
        <v>20902.52</v>
      </c>
      <c r="N4" s="13">
        <v>0.2</v>
      </c>
      <c r="O4" s="14" t="s">
        <v>44</v>
      </c>
      <c r="P4" t="s">
        <v>45</v>
      </c>
      <c r="Q4" t="s">
        <v>46</v>
      </c>
      <c r="T4" t="s">
        <v>47</v>
      </c>
      <c r="U4">
        <v>1956</v>
      </c>
      <c r="V4" t="s">
        <v>48</v>
      </c>
      <c r="W4" t="s">
        <v>49</v>
      </c>
      <c r="X4" t="s">
        <v>50</v>
      </c>
    </row>
    <row r="5" spans="1:27" x14ac:dyDescent="0.3">
      <c r="A5">
        <v>4</v>
      </c>
      <c r="B5" s="10">
        <v>45839</v>
      </c>
      <c r="C5" t="s">
        <v>51</v>
      </c>
      <c r="D5" t="s">
        <v>52</v>
      </c>
      <c r="E5" t="s">
        <v>26</v>
      </c>
      <c r="F5" t="s">
        <v>37</v>
      </c>
      <c r="G5" t="s">
        <v>53</v>
      </c>
      <c r="H5" s="11">
        <v>46206</v>
      </c>
      <c r="I5">
        <v>251654</v>
      </c>
      <c r="J5">
        <v>251654</v>
      </c>
      <c r="K5" s="15">
        <v>24746</v>
      </c>
      <c r="L5">
        <f t="shared" si="0"/>
        <v>276400</v>
      </c>
      <c r="M5" s="12">
        <f t="shared" si="1"/>
        <v>326152</v>
      </c>
      <c r="N5" s="13">
        <v>0</v>
      </c>
      <c r="O5" s="14" t="s">
        <v>54</v>
      </c>
      <c r="P5" t="s">
        <v>55</v>
      </c>
      <c r="Q5" t="s">
        <v>56</v>
      </c>
      <c r="T5" t="s">
        <v>57</v>
      </c>
      <c r="U5" s="16" t="s">
        <v>58</v>
      </c>
      <c r="V5" t="s">
        <v>48</v>
      </c>
      <c r="W5" t="s">
        <v>59</v>
      </c>
      <c r="X5" t="s">
        <v>35</v>
      </c>
    </row>
    <row r="6" spans="1:27" x14ac:dyDescent="0.3">
      <c r="A6">
        <v>5</v>
      </c>
      <c r="B6" s="10">
        <v>45839</v>
      </c>
      <c r="C6" t="s">
        <v>60</v>
      </c>
      <c r="D6" t="s">
        <v>25</v>
      </c>
      <c r="E6" t="s">
        <v>26</v>
      </c>
      <c r="F6" t="s">
        <v>37</v>
      </c>
      <c r="G6" t="s">
        <v>28</v>
      </c>
      <c r="H6" s="11">
        <v>46221</v>
      </c>
      <c r="I6">
        <v>8816</v>
      </c>
      <c r="J6">
        <v>8816</v>
      </c>
      <c r="K6">
        <v>4141</v>
      </c>
      <c r="L6">
        <f t="shared" si="0"/>
        <v>12957</v>
      </c>
      <c r="M6" s="12">
        <f t="shared" si="1"/>
        <v>15289.26</v>
      </c>
      <c r="N6" s="13">
        <v>0.35</v>
      </c>
      <c r="O6" s="14" t="s">
        <v>61</v>
      </c>
      <c r="P6" t="s">
        <v>62</v>
      </c>
      <c r="Q6" t="s">
        <v>63</v>
      </c>
      <c r="T6" t="s">
        <v>64</v>
      </c>
      <c r="U6">
        <v>1497</v>
      </c>
      <c r="V6" s="17" t="s">
        <v>65</v>
      </c>
      <c r="W6" t="s">
        <v>34</v>
      </c>
      <c r="X6" t="s">
        <v>42</v>
      </c>
    </row>
    <row r="7" spans="1:27" x14ac:dyDescent="0.3">
      <c r="A7">
        <v>6</v>
      </c>
      <c r="B7" s="10">
        <v>45839</v>
      </c>
      <c r="C7" t="s">
        <v>66</v>
      </c>
      <c r="D7" t="s">
        <v>25</v>
      </c>
      <c r="E7" t="s">
        <v>26</v>
      </c>
      <c r="F7" t="s">
        <v>27</v>
      </c>
      <c r="G7" t="s">
        <v>28</v>
      </c>
      <c r="H7" s="11">
        <v>46213</v>
      </c>
      <c r="I7">
        <v>11619</v>
      </c>
      <c r="J7">
        <v>11619</v>
      </c>
      <c r="K7">
        <v>0</v>
      </c>
      <c r="L7">
        <f t="shared" si="0"/>
        <v>11619</v>
      </c>
      <c r="M7" s="12">
        <f t="shared" si="1"/>
        <v>13710.42</v>
      </c>
      <c r="N7" s="13">
        <v>0.2</v>
      </c>
      <c r="O7" s="14" t="s">
        <v>67</v>
      </c>
      <c r="P7" t="s">
        <v>62</v>
      </c>
      <c r="Q7" t="s">
        <v>68</v>
      </c>
      <c r="T7" t="s">
        <v>69</v>
      </c>
      <c r="U7">
        <v>998</v>
      </c>
      <c r="V7" s="17" t="s">
        <v>65</v>
      </c>
      <c r="W7" t="s">
        <v>59</v>
      </c>
      <c r="X7" t="s">
        <v>70</v>
      </c>
    </row>
    <row r="8" spans="1:27" x14ac:dyDescent="0.3">
      <c r="A8">
        <v>7</v>
      </c>
      <c r="B8" s="10">
        <v>45839</v>
      </c>
      <c r="C8" t="s">
        <v>71</v>
      </c>
      <c r="D8" t="s">
        <v>72</v>
      </c>
      <c r="E8" t="s">
        <v>26</v>
      </c>
      <c r="F8" t="s">
        <v>37</v>
      </c>
      <c r="G8" t="s">
        <v>53</v>
      </c>
      <c r="H8" s="11">
        <v>46206</v>
      </c>
      <c r="I8">
        <v>132529</v>
      </c>
      <c r="J8">
        <v>132529</v>
      </c>
      <c r="K8">
        <v>25946</v>
      </c>
      <c r="L8">
        <f t="shared" si="0"/>
        <v>158475</v>
      </c>
      <c r="M8" s="12">
        <f t="shared" si="1"/>
        <v>187000.5</v>
      </c>
      <c r="N8" s="13">
        <v>0</v>
      </c>
      <c r="O8" s="14" t="s">
        <v>73</v>
      </c>
      <c r="P8" t="s">
        <v>74</v>
      </c>
      <c r="Q8" t="s">
        <v>75</v>
      </c>
      <c r="T8" t="s">
        <v>57</v>
      </c>
      <c r="U8">
        <v>2989</v>
      </c>
      <c r="V8" t="s">
        <v>48</v>
      </c>
      <c r="W8" t="s">
        <v>59</v>
      </c>
      <c r="X8" t="s">
        <v>76</v>
      </c>
    </row>
    <row r="9" spans="1:27" x14ac:dyDescent="0.3">
      <c r="A9">
        <v>8</v>
      </c>
      <c r="B9" s="10">
        <v>45839</v>
      </c>
      <c r="C9" t="s">
        <v>77</v>
      </c>
      <c r="D9" t="s">
        <v>52</v>
      </c>
      <c r="E9" t="s">
        <v>26</v>
      </c>
      <c r="F9" t="s">
        <v>37</v>
      </c>
      <c r="G9" t="s">
        <v>28</v>
      </c>
      <c r="H9" s="11">
        <v>46941</v>
      </c>
      <c r="I9">
        <v>6951</v>
      </c>
      <c r="J9">
        <v>6951</v>
      </c>
      <c r="K9">
        <v>25871</v>
      </c>
      <c r="L9">
        <f t="shared" si="0"/>
        <v>32822</v>
      </c>
      <c r="M9" s="12">
        <f t="shared" si="1"/>
        <v>38729.96</v>
      </c>
      <c r="N9" s="13">
        <v>0.25</v>
      </c>
      <c r="O9" s="14" t="s">
        <v>78</v>
      </c>
      <c r="P9" t="s">
        <v>79</v>
      </c>
      <c r="Q9" t="s">
        <v>80</v>
      </c>
      <c r="T9" t="s">
        <v>81</v>
      </c>
      <c r="U9">
        <v>1968</v>
      </c>
      <c r="V9" t="s">
        <v>48</v>
      </c>
      <c r="W9" t="s">
        <v>34</v>
      </c>
      <c r="X9" t="s">
        <v>82</v>
      </c>
    </row>
    <row r="10" spans="1:27" x14ac:dyDescent="0.3">
      <c r="A10">
        <v>9</v>
      </c>
      <c r="B10" s="10">
        <v>45839</v>
      </c>
      <c r="C10" t="s">
        <v>83</v>
      </c>
      <c r="D10" t="s">
        <v>25</v>
      </c>
      <c r="E10" t="s">
        <v>26</v>
      </c>
      <c r="F10" t="s">
        <v>37</v>
      </c>
      <c r="G10" t="s">
        <v>53</v>
      </c>
      <c r="H10" s="11">
        <v>46208</v>
      </c>
      <c r="I10">
        <v>98342</v>
      </c>
      <c r="J10">
        <v>98342</v>
      </c>
      <c r="K10">
        <v>21807</v>
      </c>
      <c r="L10">
        <f t="shared" si="0"/>
        <v>120149</v>
      </c>
      <c r="M10" s="12">
        <f t="shared" si="1"/>
        <v>141775.82</v>
      </c>
      <c r="N10" s="13">
        <v>0</v>
      </c>
      <c r="O10" s="14" t="s">
        <v>84</v>
      </c>
      <c r="P10" t="s">
        <v>85</v>
      </c>
      <c r="Q10" t="s">
        <v>86</v>
      </c>
      <c r="T10" t="s">
        <v>57</v>
      </c>
      <c r="U10">
        <v>230</v>
      </c>
      <c r="V10" t="s">
        <v>87</v>
      </c>
      <c r="W10" t="s">
        <v>59</v>
      </c>
      <c r="X10" t="s">
        <v>50</v>
      </c>
    </row>
    <row r="11" spans="1:27" x14ac:dyDescent="0.3">
      <c r="A11">
        <v>10</v>
      </c>
      <c r="B11" s="10">
        <v>45839</v>
      </c>
      <c r="C11" t="s">
        <v>88</v>
      </c>
      <c r="D11" t="s">
        <v>25</v>
      </c>
      <c r="E11" t="s">
        <v>26</v>
      </c>
      <c r="F11" t="s">
        <v>27</v>
      </c>
      <c r="G11" t="s">
        <v>28</v>
      </c>
      <c r="H11" s="11">
        <v>46216</v>
      </c>
      <c r="I11">
        <v>12476</v>
      </c>
      <c r="J11">
        <v>12476</v>
      </c>
      <c r="K11">
        <v>0</v>
      </c>
      <c r="L11">
        <f t="shared" si="0"/>
        <v>12476</v>
      </c>
      <c r="M11" s="12">
        <f t="shared" si="1"/>
        <v>14721.68</v>
      </c>
      <c r="N11" s="13">
        <v>0.25</v>
      </c>
      <c r="O11" s="14" t="s">
        <v>89</v>
      </c>
      <c r="P11" t="s">
        <v>62</v>
      </c>
      <c r="Q11" t="s">
        <v>90</v>
      </c>
      <c r="T11" t="s">
        <v>91</v>
      </c>
      <c r="U11">
        <v>1497</v>
      </c>
      <c r="V11" s="17" t="s">
        <v>65</v>
      </c>
      <c r="W11" t="s">
        <v>34</v>
      </c>
      <c r="X11" t="s">
        <v>35</v>
      </c>
    </row>
    <row r="12" spans="1:27" x14ac:dyDescent="0.3">
      <c r="A12">
        <v>11</v>
      </c>
      <c r="B12" s="10">
        <v>45839</v>
      </c>
      <c r="C12" t="s">
        <v>92</v>
      </c>
      <c r="D12" t="s">
        <v>25</v>
      </c>
      <c r="E12" t="s">
        <v>26</v>
      </c>
      <c r="F12" t="s">
        <v>37</v>
      </c>
      <c r="G12" t="s">
        <v>28</v>
      </c>
      <c r="H12" s="11">
        <v>46227</v>
      </c>
      <c r="I12">
        <v>63864</v>
      </c>
      <c r="J12">
        <v>63864</v>
      </c>
      <c r="K12">
        <v>8622</v>
      </c>
      <c r="L12">
        <f t="shared" si="0"/>
        <v>72486</v>
      </c>
      <c r="M12" s="12">
        <f t="shared" si="1"/>
        <v>85533.48</v>
      </c>
      <c r="N12" s="13">
        <v>0.5</v>
      </c>
      <c r="O12" s="14" t="s">
        <v>93</v>
      </c>
      <c r="P12" t="s">
        <v>94</v>
      </c>
      <c r="Q12" t="s">
        <v>95</v>
      </c>
      <c r="T12" t="s">
        <v>96</v>
      </c>
      <c r="U12">
        <v>4497</v>
      </c>
      <c r="V12" t="s">
        <v>33</v>
      </c>
      <c r="W12" t="s">
        <v>97</v>
      </c>
      <c r="X12" t="s">
        <v>35</v>
      </c>
    </row>
    <row r="13" spans="1:27" x14ac:dyDescent="0.3">
      <c r="A13">
        <v>12</v>
      </c>
      <c r="B13" s="10">
        <v>45839</v>
      </c>
      <c r="C13" t="s">
        <v>98</v>
      </c>
      <c r="D13" t="s">
        <v>25</v>
      </c>
      <c r="E13" t="s">
        <v>26</v>
      </c>
      <c r="F13" t="s">
        <v>37</v>
      </c>
      <c r="G13" t="s">
        <v>28</v>
      </c>
      <c r="H13" s="11">
        <v>46209</v>
      </c>
      <c r="I13">
        <v>200341</v>
      </c>
      <c r="J13">
        <v>200341</v>
      </c>
      <c r="K13">
        <v>8197</v>
      </c>
      <c r="L13">
        <f t="shared" si="0"/>
        <v>208538</v>
      </c>
      <c r="M13" s="12">
        <f t="shared" si="1"/>
        <v>246074.84</v>
      </c>
      <c r="N13" s="13">
        <v>0</v>
      </c>
      <c r="O13" s="14" t="s">
        <v>99</v>
      </c>
      <c r="P13" t="s">
        <v>100</v>
      </c>
      <c r="Q13" t="s">
        <v>101</v>
      </c>
      <c r="T13" t="s">
        <v>102</v>
      </c>
      <c r="U13">
        <v>2993</v>
      </c>
      <c r="V13" t="s">
        <v>48</v>
      </c>
      <c r="W13" t="s">
        <v>34</v>
      </c>
      <c r="X13" t="s">
        <v>35</v>
      </c>
    </row>
    <row r="14" spans="1:27" x14ac:dyDescent="0.3">
      <c r="A14">
        <v>13</v>
      </c>
      <c r="B14" s="10">
        <v>45839</v>
      </c>
      <c r="C14" t="s">
        <v>103</v>
      </c>
      <c r="D14" t="s">
        <v>25</v>
      </c>
      <c r="E14" t="s">
        <v>26</v>
      </c>
      <c r="F14" t="s">
        <v>37</v>
      </c>
      <c r="G14" t="s">
        <v>28</v>
      </c>
      <c r="H14" s="11">
        <v>46208</v>
      </c>
      <c r="I14">
        <v>46148</v>
      </c>
      <c r="J14">
        <v>46148</v>
      </c>
      <c r="K14">
        <v>8197</v>
      </c>
      <c r="L14">
        <f t="shared" si="0"/>
        <v>54345</v>
      </c>
      <c r="M14" s="12">
        <f t="shared" si="1"/>
        <v>64127.1</v>
      </c>
      <c r="N14" s="13">
        <v>0</v>
      </c>
      <c r="O14" s="14" t="s">
        <v>104</v>
      </c>
      <c r="P14" t="s">
        <v>62</v>
      </c>
      <c r="Q14" t="s">
        <v>105</v>
      </c>
      <c r="T14" t="s">
        <v>106</v>
      </c>
      <c r="U14">
        <v>1995</v>
      </c>
      <c r="V14" t="s">
        <v>48</v>
      </c>
      <c r="W14" t="s">
        <v>34</v>
      </c>
      <c r="X14" t="s">
        <v>50</v>
      </c>
    </row>
    <row r="15" spans="1:27" x14ac:dyDescent="0.3">
      <c r="A15">
        <v>14</v>
      </c>
      <c r="B15" s="10">
        <v>45839</v>
      </c>
      <c r="C15" t="s">
        <v>107</v>
      </c>
      <c r="D15" t="s">
        <v>72</v>
      </c>
      <c r="E15" t="s">
        <v>26</v>
      </c>
      <c r="F15" t="s">
        <v>37</v>
      </c>
      <c r="G15" t="s">
        <v>28</v>
      </c>
      <c r="H15" s="11">
        <v>46210</v>
      </c>
      <c r="I15">
        <v>11281</v>
      </c>
      <c r="J15">
        <v>11281</v>
      </c>
      <c r="K15">
        <v>3816</v>
      </c>
      <c r="L15">
        <f t="shared" si="0"/>
        <v>15097</v>
      </c>
      <c r="M15" s="12">
        <f t="shared" si="1"/>
        <v>17814.46</v>
      </c>
      <c r="N15" s="13">
        <v>0.45</v>
      </c>
      <c r="O15" s="14" t="s">
        <v>108</v>
      </c>
      <c r="P15" t="s">
        <v>109</v>
      </c>
      <c r="Q15" t="s">
        <v>110</v>
      </c>
      <c r="T15" t="s">
        <v>111</v>
      </c>
      <c r="U15">
        <v>1451</v>
      </c>
      <c r="V15" t="s">
        <v>33</v>
      </c>
      <c r="W15" t="s">
        <v>112</v>
      </c>
      <c r="X15" t="s">
        <v>35</v>
      </c>
    </row>
    <row r="16" spans="1:27" x14ac:dyDescent="0.3">
      <c r="A16">
        <v>15</v>
      </c>
      <c r="B16" s="10">
        <v>45839</v>
      </c>
      <c r="C16" t="s">
        <v>113</v>
      </c>
      <c r="D16" t="s">
        <v>72</v>
      </c>
      <c r="E16" t="s">
        <v>26</v>
      </c>
      <c r="F16" t="s">
        <v>37</v>
      </c>
      <c r="G16" t="s">
        <v>28</v>
      </c>
      <c r="H16" s="11">
        <v>46221</v>
      </c>
      <c r="I16">
        <v>20804</v>
      </c>
      <c r="J16">
        <v>20804</v>
      </c>
      <c r="K16">
        <v>8322</v>
      </c>
      <c r="L16">
        <f t="shared" si="0"/>
        <v>29126</v>
      </c>
      <c r="M16" s="12">
        <f t="shared" si="1"/>
        <v>34368.68</v>
      </c>
      <c r="N16" s="13">
        <v>0.2</v>
      </c>
      <c r="O16" s="14" t="s">
        <v>114</v>
      </c>
      <c r="P16" t="s">
        <v>115</v>
      </c>
      <c r="Q16" t="s">
        <v>116</v>
      </c>
      <c r="T16" t="s">
        <v>117</v>
      </c>
      <c r="U16">
        <v>2393</v>
      </c>
      <c r="V16" t="s">
        <v>48</v>
      </c>
      <c r="W16" t="s">
        <v>118</v>
      </c>
      <c r="X16" t="s">
        <v>50</v>
      </c>
    </row>
    <row r="17" spans="1:24" x14ac:dyDescent="0.3">
      <c r="A17">
        <v>16</v>
      </c>
      <c r="B17" s="10">
        <v>45839</v>
      </c>
      <c r="C17" t="s">
        <v>119</v>
      </c>
      <c r="D17" t="s">
        <v>52</v>
      </c>
      <c r="E17" t="s">
        <v>26</v>
      </c>
      <c r="F17" t="s">
        <v>120</v>
      </c>
      <c r="G17" t="s">
        <v>53</v>
      </c>
      <c r="H17" s="11">
        <v>46210</v>
      </c>
      <c r="I17">
        <v>53086</v>
      </c>
      <c r="J17">
        <v>3563</v>
      </c>
      <c r="K17">
        <v>49523</v>
      </c>
      <c r="L17">
        <f t="shared" si="0"/>
        <v>53086</v>
      </c>
      <c r="M17" s="12">
        <f t="shared" si="1"/>
        <v>62641.479999999996</v>
      </c>
      <c r="N17" s="13">
        <v>0</v>
      </c>
      <c r="O17" s="14" t="s">
        <v>121</v>
      </c>
      <c r="P17" t="s">
        <v>122</v>
      </c>
      <c r="Q17" t="s">
        <v>123</v>
      </c>
      <c r="T17" t="s">
        <v>57</v>
      </c>
      <c r="U17">
        <v>3770</v>
      </c>
      <c r="V17" t="s">
        <v>48</v>
      </c>
      <c r="W17" t="s">
        <v>59</v>
      </c>
      <c r="X17" t="s">
        <v>124</v>
      </c>
    </row>
    <row r="18" spans="1:24" x14ac:dyDescent="0.3">
      <c r="A18">
        <v>17</v>
      </c>
      <c r="B18" s="10">
        <v>45839</v>
      </c>
      <c r="C18" t="s">
        <v>125</v>
      </c>
      <c r="D18" t="s">
        <v>126</v>
      </c>
      <c r="E18" t="s">
        <v>26</v>
      </c>
      <c r="F18" t="s">
        <v>37</v>
      </c>
      <c r="G18" t="s">
        <v>28</v>
      </c>
      <c r="H18" s="11">
        <v>46214</v>
      </c>
      <c r="I18">
        <v>18397</v>
      </c>
      <c r="J18">
        <v>18397</v>
      </c>
      <c r="K18">
        <v>0</v>
      </c>
      <c r="L18">
        <f t="shared" si="0"/>
        <v>18397</v>
      </c>
      <c r="M18" s="12">
        <f t="shared" si="1"/>
        <v>21708.46</v>
      </c>
      <c r="N18" s="13">
        <v>0.25</v>
      </c>
      <c r="O18" s="14" t="s">
        <v>127</v>
      </c>
      <c r="P18" t="s">
        <v>128</v>
      </c>
      <c r="Q18" t="s">
        <v>129</v>
      </c>
      <c r="T18" s="17" t="s">
        <v>130</v>
      </c>
      <c r="U18">
        <v>1997</v>
      </c>
      <c r="V18" t="s">
        <v>33</v>
      </c>
      <c r="W18" t="s">
        <v>112</v>
      </c>
      <c r="X18" t="s">
        <v>131</v>
      </c>
    </row>
    <row r="19" spans="1:24" x14ac:dyDescent="0.3">
      <c r="A19">
        <v>18</v>
      </c>
      <c r="B19" s="10">
        <v>45839</v>
      </c>
      <c r="C19" t="s">
        <v>132</v>
      </c>
      <c r="D19" t="s">
        <v>133</v>
      </c>
      <c r="E19" t="s">
        <v>26</v>
      </c>
      <c r="F19" t="s">
        <v>134</v>
      </c>
      <c r="G19" t="s">
        <v>28</v>
      </c>
      <c r="H19" s="11">
        <v>46211</v>
      </c>
      <c r="I19">
        <v>19826</v>
      </c>
      <c r="J19">
        <v>9703</v>
      </c>
      <c r="K19">
        <v>10123</v>
      </c>
      <c r="L19">
        <f t="shared" si="0"/>
        <v>19826</v>
      </c>
      <c r="M19" s="12">
        <f t="shared" si="1"/>
        <v>23394.68</v>
      </c>
      <c r="N19" s="13">
        <v>0.25</v>
      </c>
      <c r="O19" t="s">
        <v>135</v>
      </c>
      <c r="P19" t="s">
        <v>136</v>
      </c>
      <c r="Q19" t="s">
        <v>137</v>
      </c>
      <c r="T19" t="s">
        <v>138</v>
      </c>
      <c r="U19">
        <v>42</v>
      </c>
      <c r="V19" t="s">
        <v>87</v>
      </c>
      <c r="W19" t="s">
        <v>34</v>
      </c>
      <c r="X19" t="s">
        <v>35</v>
      </c>
    </row>
    <row r="20" spans="1:24" x14ac:dyDescent="0.3">
      <c r="A20">
        <v>19</v>
      </c>
      <c r="B20" s="10">
        <v>45839</v>
      </c>
      <c r="C20" t="s">
        <v>139</v>
      </c>
      <c r="D20" t="s">
        <v>52</v>
      </c>
      <c r="E20" t="s">
        <v>26</v>
      </c>
      <c r="F20" t="s">
        <v>37</v>
      </c>
      <c r="G20" t="s">
        <v>140</v>
      </c>
      <c r="H20" s="11">
        <v>46212</v>
      </c>
      <c r="I20">
        <v>7197</v>
      </c>
      <c r="J20">
        <v>7197</v>
      </c>
      <c r="K20">
        <v>3841</v>
      </c>
      <c r="L20">
        <f t="shared" si="0"/>
        <v>11038</v>
      </c>
      <c r="M20" s="12">
        <f t="shared" si="1"/>
        <v>13024.84</v>
      </c>
      <c r="N20" s="13">
        <v>0</v>
      </c>
      <c r="O20" s="14" t="s">
        <v>141</v>
      </c>
      <c r="P20" t="s">
        <v>142</v>
      </c>
      <c r="Q20" t="s">
        <v>143</v>
      </c>
      <c r="T20" t="s">
        <v>144</v>
      </c>
      <c r="U20">
        <v>1197</v>
      </c>
      <c r="V20" t="s">
        <v>33</v>
      </c>
      <c r="W20" t="s">
        <v>145</v>
      </c>
      <c r="X20" t="s">
        <v>131</v>
      </c>
    </row>
    <row r="21" spans="1:24" x14ac:dyDescent="0.3">
      <c r="A21">
        <v>20</v>
      </c>
      <c r="B21" s="10">
        <v>45839</v>
      </c>
      <c r="C21" t="s">
        <v>146</v>
      </c>
      <c r="D21" t="s">
        <v>126</v>
      </c>
      <c r="E21" t="s">
        <v>26</v>
      </c>
      <c r="F21" t="s">
        <v>37</v>
      </c>
      <c r="G21" t="s">
        <v>140</v>
      </c>
      <c r="H21" s="11">
        <v>46210</v>
      </c>
      <c r="I21">
        <v>110200</v>
      </c>
      <c r="J21">
        <v>110200</v>
      </c>
      <c r="K21">
        <v>8197</v>
      </c>
      <c r="L21">
        <f t="shared" si="0"/>
        <v>118397</v>
      </c>
      <c r="M21" s="12">
        <f t="shared" si="1"/>
        <v>139708.46</v>
      </c>
      <c r="N21" s="13">
        <v>0</v>
      </c>
      <c r="O21" s="14" t="s">
        <v>147</v>
      </c>
      <c r="P21" t="s">
        <v>148</v>
      </c>
      <c r="Q21" t="s">
        <v>149</v>
      </c>
      <c r="T21" t="s">
        <v>150</v>
      </c>
      <c r="U21">
        <v>1950</v>
      </c>
      <c r="V21" t="s">
        <v>48</v>
      </c>
      <c r="W21" t="s">
        <v>34</v>
      </c>
      <c r="X21" t="s">
        <v>151</v>
      </c>
    </row>
    <row r="22" spans="1:24" x14ac:dyDescent="0.3">
      <c r="A22">
        <v>21</v>
      </c>
      <c r="B22" s="10">
        <v>45839</v>
      </c>
      <c r="C22" t="s">
        <v>152</v>
      </c>
      <c r="D22" t="s">
        <v>72</v>
      </c>
      <c r="E22" t="s">
        <v>26</v>
      </c>
      <c r="F22" t="s">
        <v>37</v>
      </c>
      <c r="G22" t="s">
        <v>28</v>
      </c>
      <c r="H22" s="11">
        <v>46210</v>
      </c>
      <c r="I22">
        <v>466</v>
      </c>
      <c r="J22">
        <v>466</v>
      </c>
      <c r="K22">
        <v>3841</v>
      </c>
      <c r="L22">
        <f t="shared" si="0"/>
        <v>4307</v>
      </c>
      <c r="M22" s="12">
        <f t="shared" si="1"/>
        <v>5082.26</v>
      </c>
      <c r="N22" s="13">
        <v>0.5</v>
      </c>
      <c r="O22" s="14" t="s">
        <v>153</v>
      </c>
      <c r="P22" t="s">
        <v>154</v>
      </c>
      <c r="Q22" t="s">
        <v>155</v>
      </c>
      <c r="T22" t="s">
        <v>156</v>
      </c>
      <c r="U22">
        <v>1197</v>
      </c>
      <c r="V22" t="s">
        <v>33</v>
      </c>
      <c r="W22" t="s">
        <v>34</v>
      </c>
      <c r="X22" t="s">
        <v>35</v>
      </c>
    </row>
    <row r="23" spans="1:24" x14ac:dyDescent="0.3">
      <c r="A23">
        <v>22</v>
      </c>
      <c r="B23" s="10">
        <v>45839</v>
      </c>
      <c r="C23" t="s">
        <v>157</v>
      </c>
      <c r="D23" t="s">
        <v>52</v>
      </c>
      <c r="E23" t="s">
        <v>26</v>
      </c>
      <c r="F23" t="s">
        <v>27</v>
      </c>
      <c r="G23" t="s">
        <v>28</v>
      </c>
      <c r="H23" s="11">
        <v>46218</v>
      </c>
      <c r="I23">
        <v>10181</v>
      </c>
      <c r="J23">
        <v>10181</v>
      </c>
      <c r="K23">
        <v>0</v>
      </c>
      <c r="L23">
        <f t="shared" si="0"/>
        <v>10181</v>
      </c>
      <c r="M23" s="12">
        <f t="shared" si="1"/>
        <v>12013.58</v>
      </c>
      <c r="N23" s="13">
        <v>0.25</v>
      </c>
      <c r="O23" s="14" t="s">
        <v>158</v>
      </c>
      <c r="P23" t="s">
        <v>154</v>
      </c>
      <c r="Q23" t="s">
        <v>159</v>
      </c>
      <c r="T23" t="s">
        <v>160</v>
      </c>
      <c r="U23">
        <v>1462</v>
      </c>
      <c r="V23" t="s">
        <v>33</v>
      </c>
      <c r="W23" t="s">
        <v>34</v>
      </c>
      <c r="X23" t="s">
        <v>42</v>
      </c>
    </row>
    <row r="24" spans="1:24" x14ac:dyDescent="0.3">
      <c r="A24">
        <v>23</v>
      </c>
      <c r="B24" s="10">
        <v>45839</v>
      </c>
      <c r="C24" t="s">
        <v>161</v>
      </c>
      <c r="D24" t="s">
        <v>126</v>
      </c>
      <c r="E24" t="s">
        <v>26</v>
      </c>
      <c r="F24" t="s">
        <v>37</v>
      </c>
      <c r="G24" t="s">
        <v>140</v>
      </c>
      <c r="H24" s="11">
        <v>46212</v>
      </c>
      <c r="I24">
        <v>4691</v>
      </c>
      <c r="J24">
        <v>4691</v>
      </c>
      <c r="K24">
        <v>3796</v>
      </c>
      <c r="L24">
        <f t="shared" si="0"/>
        <v>8487</v>
      </c>
      <c r="M24" s="12">
        <f t="shared" si="1"/>
        <v>10014.66</v>
      </c>
      <c r="N24" s="13">
        <v>0</v>
      </c>
      <c r="O24" s="14" t="s">
        <v>162</v>
      </c>
      <c r="P24" t="s">
        <v>39</v>
      </c>
      <c r="Q24" t="s">
        <v>163</v>
      </c>
      <c r="T24" t="s">
        <v>164</v>
      </c>
      <c r="U24">
        <v>1497</v>
      </c>
      <c r="V24" s="17" t="s">
        <v>65</v>
      </c>
      <c r="W24" t="s">
        <v>165</v>
      </c>
      <c r="X24" t="s">
        <v>131</v>
      </c>
    </row>
    <row r="25" spans="1:24" x14ac:dyDescent="0.3">
      <c r="A25">
        <v>24</v>
      </c>
      <c r="B25" s="10">
        <v>45839</v>
      </c>
      <c r="C25" t="s">
        <v>166</v>
      </c>
      <c r="D25" t="s">
        <v>52</v>
      </c>
      <c r="E25" t="s">
        <v>26</v>
      </c>
      <c r="F25" t="s">
        <v>27</v>
      </c>
      <c r="G25" t="s">
        <v>28</v>
      </c>
      <c r="H25" s="11">
        <v>46217</v>
      </c>
      <c r="I25">
        <v>72120</v>
      </c>
      <c r="J25">
        <v>72120</v>
      </c>
      <c r="K25">
        <v>0</v>
      </c>
      <c r="L25">
        <f t="shared" si="0"/>
        <v>72120</v>
      </c>
      <c r="M25" s="12">
        <f t="shared" si="1"/>
        <v>85101.6</v>
      </c>
      <c r="N25" s="13">
        <v>0.2</v>
      </c>
      <c r="O25" s="14" t="s">
        <v>167</v>
      </c>
      <c r="P25" t="s">
        <v>168</v>
      </c>
      <c r="Q25" t="s">
        <v>169</v>
      </c>
      <c r="T25" t="s">
        <v>170</v>
      </c>
      <c r="U25">
        <v>1998</v>
      </c>
      <c r="V25" t="s">
        <v>48</v>
      </c>
      <c r="W25" t="s">
        <v>171</v>
      </c>
      <c r="X25" t="s">
        <v>50</v>
      </c>
    </row>
    <row r="26" spans="1:24" x14ac:dyDescent="0.3">
      <c r="A26">
        <v>25</v>
      </c>
      <c r="B26" s="10">
        <v>45839</v>
      </c>
      <c r="C26" t="s">
        <v>172</v>
      </c>
      <c r="D26" t="s">
        <v>52</v>
      </c>
      <c r="E26" t="s">
        <v>26</v>
      </c>
      <c r="F26" t="s">
        <v>120</v>
      </c>
      <c r="G26" t="s">
        <v>28</v>
      </c>
      <c r="H26" s="11">
        <v>46212</v>
      </c>
      <c r="I26">
        <v>46662</v>
      </c>
      <c r="J26">
        <v>647</v>
      </c>
      <c r="K26">
        <v>46015</v>
      </c>
      <c r="L26">
        <f t="shared" si="0"/>
        <v>46662</v>
      </c>
      <c r="M26" s="12">
        <f t="shared" si="1"/>
        <v>55061.16</v>
      </c>
      <c r="N26" s="13">
        <v>0.5</v>
      </c>
      <c r="O26" s="14" t="s">
        <v>173</v>
      </c>
      <c r="P26" t="s">
        <v>174</v>
      </c>
      <c r="Q26" t="s">
        <v>175</v>
      </c>
      <c r="T26" t="s">
        <v>176</v>
      </c>
      <c r="U26">
        <v>3907</v>
      </c>
      <c r="V26" t="s">
        <v>48</v>
      </c>
      <c r="W26" t="s">
        <v>118</v>
      </c>
      <c r="X26" t="s">
        <v>35</v>
      </c>
    </row>
    <row r="27" spans="1:24" x14ac:dyDescent="0.3">
      <c r="A27">
        <v>26</v>
      </c>
      <c r="B27" s="10">
        <v>45839</v>
      </c>
      <c r="C27" t="s">
        <v>177</v>
      </c>
      <c r="D27" t="s">
        <v>52</v>
      </c>
      <c r="E27" t="s">
        <v>26</v>
      </c>
      <c r="F27" t="s">
        <v>27</v>
      </c>
      <c r="G27" t="s">
        <v>28</v>
      </c>
      <c r="H27" s="11">
        <v>46221</v>
      </c>
      <c r="I27">
        <v>72932</v>
      </c>
      <c r="J27">
        <v>72932</v>
      </c>
      <c r="K27">
        <v>0</v>
      </c>
      <c r="L27">
        <f t="shared" si="0"/>
        <v>72932</v>
      </c>
      <c r="M27" s="12">
        <f>(L27)+(L27*18%)</f>
        <v>86059.76</v>
      </c>
      <c r="N27" s="13">
        <v>0.2</v>
      </c>
      <c r="O27" s="14" t="s">
        <v>178</v>
      </c>
      <c r="P27" t="s">
        <v>168</v>
      </c>
      <c r="Q27" t="s">
        <v>179</v>
      </c>
      <c r="T27" t="s">
        <v>180</v>
      </c>
      <c r="U27">
        <v>1999</v>
      </c>
      <c r="V27" t="s">
        <v>48</v>
      </c>
      <c r="W27" t="s">
        <v>171</v>
      </c>
      <c r="X27" t="s">
        <v>35</v>
      </c>
    </row>
    <row r="28" spans="1:24" x14ac:dyDescent="0.3">
      <c r="A28">
        <v>27</v>
      </c>
      <c r="B28" s="10">
        <v>45839</v>
      </c>
      <c r="C28" t="s">
        <v>181</v>
      </c>
      <c r="D28" t="s">
        <v>52</v>
      </c>
      <c r="E28" t="s">
        <v>26</v>
      </c>
      <c r="F28" t="s">
        <v>37</v>
      </c>
      <c r="G28" t="s">
        <v>28</v>
      </c>
      <c r="H28" s="11">
        <v>46214</v>
      </c>
      <c r="I28">
        <v>8825</v>
      </c>
      <c r="J28">
        <v>8825</v>
      </c>
      <c r="K28">
        <v>3841</v>
      </c>
      <c r="L28">
        <f t="shared" si="0"/>
        <v>12666</v>
      </c>
      <c r="M28" s="12">
        <f t="shared" si="1"/>
        <v>14945.880000000001</v>
      </c>
      <c r="N28" s="13">
        <v>0</v>
      </c>
      <c r="O28" s="14" t="s">
        <v>182</v>
      </c>
      <c r="P28" t="s">
        <v>62</v>
      </c>
      <c r="Q28" t="s">
        <v>183</v>
      </c>
      <c r="T28" t="s">
        <v>184</v>
      </c>
      <c r="U28">
        <v>1197</v>
      </c>
      <c r="V28" t="s">
        <v>65</v>
      </c>
      <c r="W28" t="s">
        <v>185</v>
      </c>
      <c r="X28" t="s">
        <v>131</v>
      </c>
    </row>
    <row r="29" spans="1:24" x14ac:dyDescent="0.3">
      <c r="A29">
        <v>28</v>
      </c>
      <c r="B29" s="10">
        <v>45839</v>
      </c>
      <c r="C29" t="s">
        <v>186</v>
      </c>
      <c r="D29" t="s">
        <v>72</v>
      </c>
      <c r="E29" t="s">
        <v>26</v>
      </c>
      <c r="F29" t="s">
        <v>37</v>
      </c>
      <c r="G29" t="s">
        <v>28</v>
      </c>
      <c r="H29" s="11">
        <v>46222</v>
      </c>
      <c r="I29">
        <v>30480</v>
      </c>
      <c r="J29">
        <v>30480</v>
      </c>
      <c r="K29">
        <v>8322</v>
      </c>
      <c r="L29">
        <f t="shared" si="0"/>
        <v>38802</v>
      </c>
      <c r="M29" s="12">
        <f t="shared" si="1"/>
        <v>45786.36</v>
      </c>
      <c r="N29" s="13">
        <v>0.5</v>
      </c>
      <c r="O29" s="14" t="s">
        <v>187</v>
      </c>
      <c r="P29" t="s">
        <v>74</v>
      </c>
      <c r="Q29" t="s">
        <v>188</v>
      </c>
      <c r="T29" t="s">
        <v>189</v>
      </c>
      <c r="U29">
        <v>1991</v>
      </c>
      <c r="V29" t="s">
        <v>33</v>
      </c>
      <c r="W29" t="s">
        <v>112</v>
      </c>
      <c r="X29" t="s">
        <v>35</v>
      </c>
    </row>
    <row r="30" spans="1:24" x14ac:dyDescent="0.3">
      <c r="A30">
        <v>29</v>
      </c>
      <c r="B30" s="10">
        <v>45839</v>
      </c>
      <c r="C30" t="s">
        <v>190</v>
      </c>
      <c r="D30" t="s">
        <v>72</v>
      </c>
      <c r="E30" t="s">
        <v>26</v>
      </c>
      <c r="F30" t="s">
        <v>27</v>
      </c>
      <c r="G30" t="s">
        <v>28</v>
      </c>
      <c r="H30" s="11">
        <v>46215</v>
      </c>
      <c r="I30">
        <v>26122</v>
      </c>
      <c r="J30">
        <v>26122</v>
      </c>
      <c r="K30">
        <v>0</v>
      </c>
      <c r="L30">
        <f t="shared" si="0"/>
        <v>26122</v>
      </c>
      <c r="M30" s="12">
        <f t="shared" si="1"/>
        <v>30823.96</v>
      </c>
      <c r="N30" s="13">
        <v>0.25</v>
      </c>
      <c r="O30" s="14" t="s">
        <v>191</v>
      </c>
      <c r="P30" t="s">
        <v>115</v>
      </c>
      <c r="Q30" t="s">
        <v>192</v>
      </c>
      <c r="T30" t="s">
        <v>193</v>
      </c>
      <c r="U30">
        <v>1987</v>
      </c>
      <c r="V30" t="s">
        <v>33</v>
      </c>
      <c r="W30" t="s">
        <v>34</v>
      </c>
      <c r="X30" t="s">
        <v>35</v>
      </c>
    </row>
    <row r="31" spans="1:24" x14ac:dyDescent="0.3">
      <c r="A31">
        <v>30</v>
      </c>
      <c r="B31" s="10">
        <v>45839</v>
      </c>
      <c r="C31" t="s">
        <v>194</v>
      </c>
      <c r="D31" t="s">
        <v>52</v>
      </c>
      <c r="E31" t="s">
        <v>26</v>
      </c>
      <c r="F31" t="s">
        <v>120</v>
      </c>
      <c r="G31" t="s">
        <v>140</v>
      </c>
      <c r="H31" s="11">
        <v>46213</v>
      </c>
      <c r="I31">
        <v>60047</v>
      </c>
      <c r="J31">
        <v>0</v>
      </c>
      <c r="K31">
        <v>60047</v>
      </c>
      <c r="L31">
        <f t="shared" si="0"/>
        <v>60047</v>
      </c>
      <c r="M31" s="12">
        <f t="shared" si="1"/>
        <v>70855.459999999992</v>
      </c>
      <c r="N31" s="13">
        <v>0</v>
      </c>
      <c r="O31" s="14" t="s">
        <v>195</v>
      </c>
      <c r="P31" t="s">
        <v>196</v>
      </c>
      <c r="Q31" t="s">
        <v>197</v>
      </c>
      <c r="T31" t="s">
        <v>198</v>
      </c>
      <c r="U31">
        <v>3455</v>
      </c>
      <c r="V31" t="s">
        <v>48</v>
      </c>
      <c r="W31" t="s">
        <v>199</v>
      </c>
      <c r="X31" t="s">
        <v>50</v>
      </c>
    </row>
    <row r="32" spans="1:24" x14ac:dyDescent="0.3">
      <c r="A32">
        <v>31</v>
      </c>
      <c r="B32" s="10">
        <v>45839</v>
      </c>
      <c r="C32" t="s">
        <v>200</v>
      </c>
      <c r="D32" t="s">
        <v>72</v>
      </c>
      <c r="E32" t="s">
        <v>26</v>
      </c>
      <c r="F32" t="s">
        <v>37</v>
      </c>
      <c r="G32" t="s">
        <v>28</v>
      </c>
      <c r="H32" s="11">
        <v>46216</v>
      </c>
      <c r="I32">
        <v>11144</v>
      </c>
      <c r="J32">
        <v>11144</v>
      </c>
      <c r="K32">
        <v>8247</v>
      </c>
      <c r="L32">
        <f t="shared" si="0"/>
        <v>19391</v>
      </c>
      <c r="M32" s="12">
        <f t="shared" si="1"/>
        <v>22881.38</v>
      </c>
      <c r="N32" s="13">
        <v>0.25</v>
      </c>
      <c r="O32" s="14" t="s">
        <v>201</v>
      </c>
      <c r="P32" t="s">
        <v>62</v>
      </c>
      <c r="Q32" t="s">
        <v>202</v>
      </c>
      <c r="T32" t="s">
        <v>203</v>
      </c>
      <c r="U32">
        <v>1582</v>
      </c>
      <c r="V32" t="s">
        <v>48</v>
      </c>
      <c r="W32" t="s">
        <v>34</v>
      </c>
      <c r="X32" t="s">
        <v>35</v>
      </c>
    </row>
    <row r="33" spans="1:24" x14ac:dyDescent="0.3">
      <c r="A33">
        <v>32</v>
      </c>
      <c r="B33" s="10">
        <v>45839</v>
      </c>
      <c r="C33" t="s">
        <v>204</v>
      </c>
      <c r="D33" t="s">
        <v>52</v>
      </c>
      <c r="E33" t="s">
        <v>26</v>
      </c>
      <c r="F33" t="s">
        <v>37</v>
      </c>
      <c r="G33" t="s">
        <v>28</v>
      </c>
      <c r="H33" s="11">
        <v>46213</v>
      </c>
      <c r="I33">
        <v>9121</v>
      </c>
      <c r="J33">
        <v>9121</v>
      </c>
      <c r="K33">
        <v>3841</v>
      </c>
      <c r="L33">
        <f t="shared" si="0"/>
        <v>12962</v>
      </c>
      <c r="M33" s="12">
        <f t="shared" si="1"/>
        <v>15295.16</v>
      </c>
      <c r="N33" s="13">
        <v>0</v>
      </c>
      <c r="O33" s="14" t="s">
        <v>205</v>
      </c>
      <c r="P33" t="s">
        <v>206</v>
      </c>
      <c r="Q33" t="s">
        <v>207</v>
      </c>
      <c r="T33" t="s">
        <v>208</v>
      </c>
      <c r="U33">
        <v>1197</v>
      </c>
      <c r="V33" t="s">
        <v>33</v>
      </c>
      <c r="W33" t="s">
        <v>209</v>
      </c>
      <c r="X33" t="s">
        <v>131</v>
      </c>
    </row>
    <row r="34" spans="1:24" x14ac:dyDescent="0.3">
      <c r="A34">
        <v>33</v>
      </c>
      <c r="B34" s="10">
        <v>45839</v>
      </c>
      <c r="C34" t="s">
        <v>210</v>
      </c>
      <c r="D34" t="s">
        <v>25</v>
      </c>
      <c r="E34" t="s">
        <v>26</v>
      </c>
      <c r="F34" t="s">
        <v>211</v>
      </c>
      <c r="G34" t="s">
        <v>28</v>
      </c>
      <c r="H34" s="11">
        <v>46213</v>
      </c>
      <c r="I34">
        <v>11932</v>
      </c>
      <c r="J34">
        <v>8528</v>
      </c>
      <c r="K34">
        <v>3404</v>
      </c>
      <c r="L34">
        <f t="shared" si="0"/>
        <v>11932</v>
      </c>
      <c r="M34" s="12">
        <f t="shared" si="1"/>
        <v>14079.76</v>
      </c>
      <c r="N34" s="13">
        <v>0.2</v>
      </c>
      <c r="O34" s="14" t="s">
        <v>212</v>
      </c>
      <c r="P34" t="s">
        <v>213</v>
      </c>
      <c r="Q34" s="14" t="s">
        <v>214</v>
      </c>
      <c r="T34" t="s">
        <v>215</v>
      </c>
      <c r="U34">
        <v>955</v>
      </c>
      <c r="V34" t="s">
        <v>33</v>
      </c>
      <c r="W34" t="s">
        <v>165</v>
      </c>
      <c r="X34" t="s">
        <v>76</v>
      </c>
    </row>
    <row r="35" spans="1:24" x14ac:dyDescent="0.3">
      <c r="A35">
        <v>34</v>
      </c>
      <c r="B35" s="10">
        <v>45839</v>
      </c>
      <c r="C35" t="s">
        <v>216</v>
      </c>
      <c r="D35" t="s">
        <v>126</v>
      </c>
      <c r="E35" t="s">
        <v>26</v>
      </c>
      <c r="F35" t="s">
        <v>37</v>
      </c>
      <c r="G35" t="s">
        <v>140</v>
      </c>
      <c r="H35" s="11">
        <v>46213</v>
      </c>
      <c r="I35">
        <v>3686</v>
      </c>
      <c r="J35">
        <v>3686</v>
      </c>
      <c r="K35">
        <v>3796</v>
      </c>
      <c r="L35">
        <f t="shared" si="0"/>
        <v>7482</v>
      </c>
      <c r="M35" s="12">
        <f t="shared" si="1"/>
        <v>8828.76</v>
      </c>
      <c r="N35" s="13">
        <v>0</v>
      </c>
      <c r="O35" s="14" t="s">
        <v>217</v>
      </c>
      <c r="P35" t="s">
        <v>218</v>
      </c>
      <c r="Q35" t="s">
        <v>219</v>
      </c>
      <c r="T35" t="s">
        <v>220</v>
      </c>
      <c r="U35">
        <v>1248</v>
      </c>
      <c r="V35" t="s">
        <v>48</v>
      </c>
      <c r="W35" t="s">
        <v>118</v>
      </c>
      <c r="X35" t="s">
        <v>131</v>
      </c>
    </row>
    <row r="36" spans="1:24" x14ac:dyDescent="0.3">
      <c r="A36">
        <v>35</v>
      </c>
      <c r="B36" s="10">
        <v>45839</v>
      </c>
      <c r="C36" t="s">
        <v>221</v>
      </c>
      <c r="D36" t="s">
        <v>72</v>
      </c>
      <c r="E36" t="s">
        <v>26</v>
      </c>
      <c r="F36" t="s">
        <v>37</v>
      </c>
      <c r="G36" t="s">
        <v>28</v>
      </c>
      <c r="H36" s="11">
        <v>46223</v>
      </c>
      <c r="I36">
        <v>2756</v>
      </c>
      <c r="J36">
        <v>2756</v>
      </c>
      <c r="K36">
        <v>2579</v>
      </c>
      <c r="L36">
        <f t="shared" si="0"/>
        <v>5335</v>
      </c>
      <c r="M36" s="12">
        <f t="shared" si="1"/>
        <v>6295.3</v>
      </c>
      <c r="N36" s="13">
        <v>0</v>
      </c>
      <c r="O36" s="14" t="s">
        <v>222</v>
      </c>
      <c r="P36" t="s">
        <v>154</v>
      </c>
      <c r="Q36" t="s">
        <v>223</v>
      </c>
      <c r="T36" t="s">
        <v>224</v>
      </c>
      <c r="U36">
        <v>998</v>
      </c>
      <c r="V36" t="s">
        <v>225</v>
      </c>
      <c r="W36" t="s">
        <v>226</v>
      </c>
      <c r="X36" t="s">
        <v>35</v>
      </c>
    </row>
    <row r="37" spans="1:24" x14ac:dyDescent="0.3">
      <c r="A37">
        <v>36</v>
      </c>
      <c r="B37" s="10">
        <v>45839</v>
      </c>
      <c r="C37" t="s">
        <v>227</v>
      </c>
      <c r="D37" t="s">
        <v>72</v>
      </c>
      <c r="E37" t="s">
        <v>26</v>
      </c>
      <c r="F37" t="s">
        <v>37</v>
      </c>
      <c r="G37" t="s">
        <v>28</v>
      </c>
      <c r="H37" s="11">
        <v>46226</v>
      </c>
      <c r="I37">
        <v>109597</v>
      </c>
      <c r="J37">
        <v>109597</v>
      </c>
      <c r="K37">
        <v>8247</v>
      </c>
      <c r="L37">
        <f t="shared" si="0"/>
        <v>117844</v>
      </c>
      <c r="M37" s="12">
        <f t="shared" si="1"/>
        <v>139055.91999999998</v>
      </c>
      <c r="N37" s="13">
        <v>0.45</v>
      </c>
      <c r="O37" s="14" t="s">
        <v>228</v>
      </c>
      <c r="P37" t="s">
        <v>229</v>
      </c>
      <c r="Q37" t="s">
        <v>230</v>
      </c>
      <c r="T37" t="s">
        <v>231</v>
      </c>
      <c r="U37">
        <v>2993</v>
      </c>
      <c r="V37" t="s">
        <v>48</v>
      </c>
      <c r="W37" t="s">
        <v>118</v>
      </c>
      <c r="X37" t="s">
        <v>35</v>
      </c>
    </row>
    <row r="38" spans="1:24" x14ac:dyDescent="0.3">
      <c r="A38">
        <v>37</v>
      </c>
      <c r="B38" s="10">
        <v>45839</v>
      </c>
      <c r="C38" t="s">
        <v>232</v>
      </c>
      <c r="D38" t="s">
        <v>72</v>
      </c>
      <c r="E38" t="s">
        <v>26</v>
      </c>
      <c r="F38" t="s">
        <v>37</v>
      </c>
      <c r="G38" t="s">
        <v>28</v>
      </c>
      <c r="H38" s="11">
        <v>46217</v>
      </c>
      <c r="I38">
        <v>39996</v>
      </c>
      <c r="J38">
        <v>39996</v>
      </c>
      <c r="K38">
        <v>8322</v>
      </c>
      <c r="L38">
        <f t="shared" si="0"/>
        <v>48318</v>
      </c>
      <c r="M38" s="12">
        <f t="shared" si="1"/>
        <v>57015.24</v>
      </c>
      <c r="N38" s="13">
        <v>0.45</v>
      </c>
      <c r="O38" s="14" t="s">
        <v>233</v>
      </c>
      <c r="P38" t="s">
        <v>234</v>
      </c>
      <c r="Q38" t="s">
        <v>235</v>
      </c>
      <c r="T38" t="s">
        <v>236</v>
      </c>
      <c r="U38">
        <v>2143</v>
      </c>
      <c r="V38" t="s">
        <v>48</v>
      </c>
      <c r="W38" t="s">
        <v>34</v>
      </c>
      <c r="X38" t="s">
        <v>50</v>
      </c>
    </row>
    <row r="39" spans="1:24" x14ac:dyDescent="0.3">
      <c r="A39">
        <v>38</v>
      </c>
      <c r="B39" s="10">
        <v>45839</v>
      </c>
      <c r="C39" t="s">
        <v>237</v>
      </c>
      <c r="D39" t="s">
        <v>52</v>
      </c>
      <c r="E39" t="s">
        <v>26</v>
      </c>
      <c r="F39" t="s">
        <v>211</v>
      </c>
      <c r="G39" t="s">
        <v>140</v>
      </c>
      <c r="H39" s="11">
        <v>46215</v>
      </c>
      <c r="I39">
        <v>1247</v>
      </c>
      <c r="J39">
        <v>83</v>
      </c>
      <c r="K39">
        <v>1164</v>
      </c>
      <c r="L39">
        <f t="shared" si="0"/>
        <v>1247</v>
      </c>
      <c r="M39" s="12">
        <f t="shared" si="1"/>
        <v>1471.46</v>
      </c>
      <c r="N39" s="13">
        <v>0</v>
      </c>
      <c r="O39" s="14" t="s">
        <v>238</v>
      </c>
      <c r="P39" t="s">
        <v>239</v>
      </c>
      <c r="Q39" t="s">
        <v>240</v>
      </c>
      <c r="T39" t="s">
        <v>241</v>
      </c>
      <c r="U39">
        <v>110</v>
      </c>
      <c r="V39" t="s">
        <v>33</v>
      </c>
      <c r="W39" t="s">
        <v>242</v>
      </c>
      <c r="X39" t="s">
        <v>243</v>
      </c>
    </row>
    <row r="40" spans="1:24" x14ac:dyDescent="0.3">
      <c r="A40">
        <v>39</v>
      </c>
      <c r="B40" s="10">
        <v>45839</v>
      </c>
      <c r="C40" t="s">
        <v>244</v>
      </c>
      <c r="D40" t="s">
        <v>25</v>
      </c>
      <c r="E40" t="s">
        <v>26</v>
      </c>
      <c r="F40" t="s">
        <v>211</v>
      </c>
      <c r="G40" t="s">
        <v>28</v>
      </c>
      <c r="H40" s="11">
        <v>46214</v>
      </c>
      <c r="I40">
        <v>5894</v>
      </c>
      <c r="J40">
        <v>2490</v>
      </c>
      <c r="K40">
        <v>3404</v>
      </c>
      <c r="L40">
        <f t="shared" si="0"/>
        <v>5894</v>
      </c>
      <c r="M40" s="12">
        <f t="shared" si="1"/>
        <v>6954.92</v>
      </c>
      <c r="N40" s="13">
        <v>0</v>
      </c>
      <c r="O40" s="14" t="s">
        <v>245</v>
      </c>
      <c r="P40" t="s">
        <v>246</v>
      </c>
      <c r="Q40" t="s">
        <v>247</v>
      </c>
      <c r="T40" t="s">
        <v>248</v>
      </c>
      <c r="U40">
        <v>648</v>
      </c>
      <c r="V40" t="s">
        <v>33</v>
      </c>
      <c r="W40" t="s">
        <v>34</v>
      </c>
      <c r="X40" t="s">
        <v>76</v>
      </c>
    </row>
    <row r="41" spans="1:24" x14ac:dyDescent="0.3">
      <c r="A41">
        <v>40</v>
      </c>
      <c r="B41" s="10">
        <v>45839</v>
      </c>
      <c r="C41" t="s">
        <v>249</v>
      </c>
      <c r="D41" t="s">
        <v>25</v>
      </c>
      <c r="E41" t="s">
        <v>26</v>
      </c>
      <c r="F41" t="s">
        <v>37</v>
      </c>
      <c r="G41" t="s">
        <v>28</v>
      </c>
      <c r="H41" s="11">
        <v>46216</v>
      </c>
      <c r="I41">
        <v>7803</v>
      </c>
      <c r="J41">
        <v>7803</v>
      </c>
      <c r="K41">
        <v>4141</v>
      </c>
      <c r="L41">
        <f t="shared" si="0"/>
        <v>11944</v>
      </c>
      <c r="M41" s="12">
        <f t="shared" si="1"/>
        <v>14093.92</v>
      </c>
      <c r="N41" s="13">
        <v>0.2</v>
      </c>
      <c r="O41" s="14" t="s">
        <v>250</v>
      </c>
      <c r="P41" t="s">
        <v>128</v>
      </c>
      <c r="Q41" t="s">
        <v>251</v>
      </c>
      <c r="T41" t="s">
        <v>252</v>
      </c>
      <c r="U41">
        <v>1197</v>
      </c>
      <c r="V41" t="s">
        <v>33</v>
      </c>
      <c r="W41" t="s">
        <v>118</v>
      </c>
      <c r="X41" t="s">
        <v>253</v>
      </c>
    </row>
    <row r="42" spans="1:24" x14ac:dyDescent="0.3">
      <c r="A42">
        <v>41</v>
      </c>
      <c r="B42" s="10">
        <v>45839</v>
      </c>
      <c r="C42" t="s">
        <v>254</v>
      </c>
      <c r="D42" t="s">
        <v>72</v>
      </c>
      <c r="E42" t="s">
        <v>26</v>
      </c>
      <c r="F42" t="s">
        <v>37</v>
      </c>
      <c r="G42" t="s">
        <v>28</v>
      </c>
      <c r="H42" s="11">
        <v>46220</v>
      </c>
      <c r="I42">
        <v>8652</v>
      </c>
      <c r="J42">
        <v>8652</v>
      </c>
      <c r="K42">
        <v>3841</v>
      </c>
      <c r="L42">
        <f t="shared" si="0"/>
        <v>12493</v>
      </c>
      <c r="M42" s="12">
        <f t="shared" si="1"/>
        <v>14741.74</v>
      </c>
      <c r="N42" s="13">
        <v>0.35</v>
      </c>
      <c r="O42" s="14" t="s">
        <v>255</v>
      </c>
      <c r="P42" t="s">
        <v>256</v>
      </c>
      <c r="Q42" t="s">
        <v>257</v>
      </c>
      <c r="T42" t="s">
        <v>258</v>
      </c>
      <c r="U42">
        <v>1493</v>
      </c>
      <c r="V42" s="17" t="s">
        <v>48</v>
      </c>
      <c r="W42" t="s">
        <v>165</v>
      </c>
      <c r="X42" t="s">
        <v>50</v>
      </c>
    </row>
    <row r="43" spans="1:24" x14ac:dyDescent="0.3">
      <c r="A43">
        <v>42</v>
      </c>
      <c r="B43" s="10">
        <v>45839</v>
      </c>
      <c r="C43" t="s">
        <v>259</v>
      </c>
      <c r="D43" t="s">
        <v>72</v>
      </c>
      <c r="E43" t="s">
        <v>26</v>
      </c>
      <c r="F43" t="s">
        <v>37</v>
      </c>
      <c r="G43" t="s">
        <v>28</v>
      </c>
      <c r="H43" s="11">
        <v>46214</v>
      </c>
      <c r="I43">
        <v>7887</v>
      </c>
      <c r="J43">
        <v>7887</v>
      </c>
      <c r="K43">
        <v>3766</v>
      </c>
      <c r="L43">
        <f t="shared" si="0"/>
        <v>11653</v>
      </c>
      <c r="M43" s="12">
        <f t="shared" si="1"/>
        <v>13750.54</v>
      </c>
      <c r="N43" s="13">
        <v>0.2</v>
      </c>
      <c r="O43" s="14" t="s">
        <v>260</v>
      </c>
      <c r="P43" t="s">
        <v>154</v>
      </c>
      <c r="Q43" t="s">
        <v>261</v>
      </c>
      <c r="T43" t="s">
        <v>262</v>
      </c>
      <c r="U43">
        <v>1197</v>
      </c>
      <c r="V43" t="s">
        <v>33</v>
      </c>
      <c r="W43" t="s">
        <v>34</v>
      </c>
      <c r="X43" t="s">
        <v>35</v>
      </c>
    </row>
    <row r="44" spans="1:24" x14ac:dyDescent="0.3">
      <c r="A44">
        <v>43</v>
      </c>
      <c r="B44" s="10">
        <v>45839</v>
      </c>
      <c r="C44" t="s">
        <v>263</v>
      </c>
      <c r="D44" t="s">
        <v>126</v>
      </c>
      <c r="E44" t="s">
        <v>26</v>
      </c>
      <c r="F44" t="s">
        <v>37</v>
      </c>
      <c r="G44" t="s">
        <v>28</v>
      </c>
      <c r="H44" s="18">
        <v>46221</v>
      </c>
      <c r="I44">
        <v>5976</v>
      </c>
      <c r="J44">
        <v>5976</v>
      </c>
      <c r="K44">
        <v>3746</v>
      </c>
      <c r="L44">
        <f t="shared" si="0"/>
        <v>9722</v>
      </c>
      <c r="M44" s="12">
        <f t="shared" si="1"/>
        <v>11471.96</v>
      </c>
      <c r="N44" s="13">
        <v>0.2</v>
      </c>
      <c r="O44" s="14" t="s">
        <v>264</v>
      </c>
      <c r="P44" t="s">
        <v>265</v>
      </c>
      <c r="Q44" t="s">
        <v>266</v>
      </c>
      <c r="T44" t="s">
        <v>267</v>
      </c>
      <c r="U44">
        <v>1199</v>
      </c>
      <c r="V44" t="s">
        <v>33</v>
      </c>
      <c r="W44" t="s">
        <v>118</v>
      </c>
      <c r="X44" t="s">
        <v>131</v>
      </c>
    </row>
    <row r="45" spans="1:24" x14ac:dyDescent="0.3">
      <c r="A45">
        <v>44</v>
      </c>
      <c r="B45" s="10">
        <v>45839</v>
      </c>
      <c r="C45" t="s">
        <v>268</v>
      </c>
      <c r="D45" t="s">
        <v>126</v>
      </c>
      <c r="E45" t="s">
        <v>26</v>
      </c>
      <c r="F45" t="s">
        <v>37</v>
      </c>
      <c r="G45" t="s">
        <v>28</v>
      </c>
      <c r="H45" s="18">
        <v>46218</v>
      </c>
      <c r="I45">
        <v>111178</v>
      </c>
      <c r="J45">
        <v>111178</v>
      </c>
      <c r="K45">
        <v>8277</v>
      </c>
      <c r="L45">
        <f t="shared" si="0"/>
        <v>119455</v>
      </c>
      <c r="M45" s="12">
        <f t="shared" si="1"/>
        <v>140956.9</v>
      </c>
      <c r="N45" s="13">
        <v>0</v>
      </c>
      <c r="O45" s="14" t="s">
        <v>269</v>
      </c>
      <c r="P45" t="s">
        <v>270</v>
      </c>
      <c r="Q45" t="s">
        <v>271</v>
      </c>
      <c r="T45" t="s">
        <v>272</v>
      </c>
      <c r="U45">
        <v>1997</v>
      </c>
      <c r="V45" t="s">
        <v>48</v>
      </c>
      <c r="W45" t="s">
        <v>34</v>
      </c>
      <c r="X45" t="s">
        <v>76</v>
      </c>
    </row>
    <row r="46" spans="1:24" x14ac:dyDescent="0.3">
      <c r="A46">
        <v>45</v>
      </c>
      <c r="B46" s="10">
        <v>45839</v>
      </c>
      <c r="C46" t="s">
        <v>273</v>
      </c>
      <c r="D46" t="s">
        <v>52</v>
      </c>
      <c r="E46" t="s">
        <v>26</v>
      </c>
      <c r="F46" t="s">
        <v>27</v>
      </c>
      <c r="G46" t="s">
        <v>28</v>
      </c>
      <c r="H46" s="11">
        <v>46219</v>
      </c>
      <c r="I46">
        <v>13966</v>
      </c>
      <c r="J46">
        <v>13966</v>
      </c>
      <c r="K46">
        <v>0</v>
      </c>
      <c r="L46">
        <f t="shared" si="0"/>
        <v>13966</v>
      </c>
      <c r="M46" s="12">
        <f t="shared" si="1"/>
        <v>16479.88</v>
      </c>
      <c r="N46" s="13">
        <v>0</v>
      </c>
      <c r="O46" s="14" t="s">
        <v>274</v>
      </c>
      <c r="P46" t="s">
        <v>142</v>
      </c>
      <c r="Q46" t="s">
        <v>275</v>
      </c>
      <c r="T46" t="s">
        <v>276</v>
      </c>
      <c r="U46">
        <v>1197</v>
      </c>
      <c r="V46" t="s">
        <v>65</v>
      </c>
      <c r="W46" t="s">
        <v>34</v>
      </c>
      <c r="X46" t="s">
        <v>42</v>
      </c>
    </row>
    <row r="47" spans="1:24" x14ac:dyDescent="0.3">
      <c r="A47">
        <v>46</v>
      </c>
      <c r="B47" s="10">
        <v>45839</v>
      </c>
      <c r="C47" t="s">
        <v>277</v>
      </c>
      <c r="D47" t="s">
        <v>278</v>
      </c>
      <c r="E47" t="s">
        <v>26</v>
      </c>
      <c r="F47" t="s">
        <v>37</v>
      </c>
      <c r="G47" t="s">
        <v>28</v>
      </c>
      <c r="H47" s="11">
        <v>46217</v>
      </c>
      <c r="I47">
        <v>119259</v>
      </c>
      <c r="J47">
        <v>119259</v>
      </c>
      <c r="K47">
        <v>8697</v>
      </c>
      <c r="L47">
        <f t="shared" si="0"/>
        <v>127956</v>
      </c>
      <c r="M47" s="12">
        <f t="shared" si="1"/>
        <v>150988.07999999999</v>
      </c>
      <c r="N47" s="13">
        <v>0.2</v>
      </c>
      <c r="O47" s="14" t="s">
        <v>279</v>
      </c>
      <c r="P47" t="s">
        <v>280</v>
      </c>
      <c r="Q47" t="s">
        <v>281</v>
      </c>
      <c r="T47" t="s">
        <v>282</v>
      </c>
      <c r="U47">
        <v>2925</v>
      </c>
      <c r="V47" t="s">
        <v>48</v>
      </c>
      <c r="W47" t="s">
        <v>283</v>
      </c>
      <c r="X47" t="s">
        <v>35</v>
      </c>
    </row>
    <row r="48" spans="1:24" x14ac:dyDescent="0.3">
      <c r="A48">
        <v>47</v>
      </c>
      <c r="B48" s="10">
        <v>45839</v>
      </c>
      <c r="C48" t="s">
        <v>284</v>
      </c>
      <c r="D48" t="s">
        <v>126</v>
      </c>
      <c r="E48" t="s">
        <v>26</v>
      </c>
      <c r="F48" t="s">
        <v>27</v>
      </c>
      <c r="G48" t="s">
        <v>28</v>
      </c>
      <c r="H48" s="11">
        <v>46222</v>
      </c>
      <c r="I48">
        <v>25275</v>
      </c>
      <c r="J48">
        <v>25275</v>
      </c>
      <c r="K48">
        <v>0</v>
      </c>
      <c r="L48">
        <f t="shared" si="0"/>
        <v>25275</v>
      </c>
      <c r="M48" s="12">
        <f t="shared" si="1"/>
        <v>29824.5</v>
      </c>
      <c r="N48" s="13">
        <v>0</v>
      </c>
      <c r="O48" s="14" t="s">
        <v>285</v>
      </c>
      <c r="P48" t="s">
        <v>286</v>
      </c>
      <c r="Q48" t="s">
        <v>287</v>
      </c>
      <c r="T48" t="s">
        <v>288</v>
      </c>
      <c r="U48">
        <v>2184</v>
      </c>
      <c r="V48" t="s">
        <v>48</v>
      </c>
      <c r="W48" t="s">
        <v>118</v>
      </c>
      <c r="X48" t="s">
        <v>131</v>
      </c>
    </row>
    <row r="49" spans="1:24" x14ac:dyDescent="0.3">
      <c r="A49">
        <v>48</v>
      </c>
      <c r="B49" s="10">
        <v>45839</v>
      </c>
      <c r="C49" t="s">
        <v>289</v>
      </c>
      <c r="D49" t="s">
        <v>72</v>
      </c>
      <c r="E49" t="s">
        <v>26</v>
      </c>
      <c r="F49" t="s">
        <v>290</v>
      </c>
      <c r="G49" t="s">
        <v>140</v>
      </c>
      <c r="H49" s="11">
        <v>46218</v>
      </c>
      <c r="I49">
        <v>8322</v>
      </c>
      <c r="J49">
        <v>0</v>
      </c>
      <c r="K49">
        <v>8322</v>
      </c>
      <c r="L49">
        <f t="shared" si="0"/>
        <v>8322</v>
      </c>
      <c r="M49" s="12">
        <f t="shared" si="1"/>
        <v>9819.9599999999991</v>
      </c>
      <c r="N49" s="13">
        <v>0</v>
      </c>
      <c r="O49" s="14" t="s">
        <v>291</v>
      </c>
      <c r="P49" t="s">
        <v>292</v>
      </c>
      <c r="Q49" t="s">
        <v>293</v>
      </c>
      <c r="T49" t="s">
        <v>294</v>
      </c>
      <c r="U49">
        <v>1999</v>
      </c>
      <c r="V49" t="s">
        <v>33</v>
      </c>
      <c r="W49" t="s">
        <v>295</v>
      </c>
      <c r="X49" t="s">
        <v>35</v>
      </c>
    </row>
    <row r="50" spans="1:24" x14ac:dyDescent="0.3">
      <c r="A50">
        <v>49</v>
      </c>
      <c r="B50" s="10">
        <v>45839</v>
      </c>
      <c r="C50" t="s">
        <v>296</v>
      </c>
      <c r="D50" t="s">
        <v>52</v>
      </c>
      <c r="E50" t="s">
        <v>297</v>
      </c>
      <c r="F50" t="s">
        <v>298</v>
      </c>
      <c r="G50" t="s">
        <v>53</v>
      </c>
      <c r="H50" s="11">
        <v>46230</v>
      </c>
      <c r="I50">
        <v>15985</v>
      </c>
      <c r="J50">
        <v>15985</v>
      </c>
      <c r="K50">
        <v>0</v>
      </c>
      <c r="L50">
        <f t="shared" si="0"/>
        <v>15985</v>
      </c>
      <c r="M50" s="12">
        <f t="shared" si="1"/>
        <v>18862.3</v>
      </c>
      <c r="N50" s="13">
        <v>0</v>
      </c>
      <c r="O50" s="14" t="s">
        <v>299</v>
      </c>
      <c r="P50" t="s">
        <v>300</v>
      </c>
      <c r="Q50" t="s">
        <v>300</v>
      </c>
      <c r="T50" t="s">
        <v>300</v>
      </c>
      <c r="U50" s="16" t="s">
        <v>300</v>
      </c>
      <c r="V50" t="s">
        <v>300</v>
      </c>
      <c r="W50" t="s">
        <v>300</v>
      </c>
      <c r="X50" t="s">
        <v>35</v>
      </c>
    </row>
    <row r="51" spans="1:24" x14ac:dyDescent="0.3">
      <c r="A51">
        <v>50</v>
      </c>
      <c r="B51" s="10">
        <v>45839</v>
      </c>
      <c r="C51" t="s">
        <v>301</v>
      </c>
      <c r="D51" t="s">
        <v>302</v>
      </c>
      <c r="E51" t="s">
        <v>297</v>
      </c>
      <c r="F51" t="s">
        <v>298</v>
      </c>
      <c r="G51" t="s">
        <v>303</v>
      </c>
      <c r="H51" s="11">
        <v>46218</v>
      </c>
      <c r="I51">
        <v>58226</v>
      </c>
      <c r="J51">
        <v>58226</v>
      </c>
      <c r="K51">
        <v>0</v>
      </c>
      <c r="L51">
        <f t="shared" si="0"/>
        <v>58226</v>
      </c>
      <c r="M51" s="12">
        <f t="shared" si="1"/>
        <v>68706.679999999993</v>
      </c>
      <c r="N51" s="13">
        <v>0</v>
      </c>
      <c r="O51" s="14" t="s">
        <v>304</v>
      </c>
      <c r="P51" t="s">
        <v>300</v>
      </c>
      <c r="Q51" t="s">
        <v>300</v>
      </c>
      <c r="T51" t="s">
        <v>300</v>
      </c>
      <c r="U51" s="16" t="s">
        <v>300</v>
      </c>
      <c r="V51" t="s">
        <v>300</v>
      </c>
      <c r="W51" t="s">
        <v>300</v>
      </c>
      <c r="X51" t="s">
        <v>35</v>
      </c>
    </row>
    <row r="52" spans="1:24" x14ac:dyDescent="0.3">
      <c r="A52">
        <v>51</v>
      </c>
      <c r="B52" s="10">
        <v>45839</v>
      </c>
      <c r="C52" t="s">
        <v>305</v>
      </c>
      <c r="D52" t="s">
        <v>126</v>
      </c>
      <c r="E52" t="s">
        <v>26</v>
      </c>
      <c r="F52" t="s">
        <v>37</v>
      </c>
      <c r="G52" t="s">
        <v>28</v>
      </c>
      <c r="H52" s="11">
        <v>46220</v>
      </c>
      <c r="I52">
        <v>24256</v>
      </c>
      <c r="J52">
        <v>24256</v>
      </c>
      <c r="K52">
        <v>8277</v>
      </c>
      <c r="L52">
        <f t="shared" si="0"/>
        <v>32533</v>
      </c>
      <c r="M52" s="12">
        <f t="shared" si="1"/>
        <v>38388.94</v>
      </c>
      <c r="N52" s="13">
        <v>0.2</v>
      </c>
      <c r="O52" s="14" t="s">
        <v>306</v>
      </c>
      <c r="P52" t="s">
        <v>307</v>
      </c>
      <c r="Q52" t="s">
        <v>308</v>
      </c>
      <c r="T52" t="s">
        <v>309</v>
      </c>
      <c r="U52">
        <v>1984</v>
      </c>
      <c r="V52" t="s">
        <v>33</v>
      </c>
      <c r="W52" t="s">
        <v>34</v>
      </c>
      <c r="X52" t="s">
        <v>82</v>
      </c>
    </row>
    <row r="53" spans="1:24" x14ac:dyDescent="0.3">
      <c r="A53">
        <v>52</v>
      </c>
      <c r="B53" s="10">
        <v>45839</v>
      </c>
      <c r="C53" t="s">
        <v>310</v>
      </c>
      <c r="D53" t="s">
        <v>278</v>
      </c>
      <c r="E53" t="s">
        <v>26</v>
      </c>
      <c r="F53" t="s">
        <v>37</v>
      </c>
      <c r="G53" t="s">
        <v>53</v>
      </c>
      <c r="H53" s="11">
        <v>46218</v>
      </c>
      <c r="I53">
        <v>92818</v>
      </c>
      <c r="J53">
        <v>92818</v>
      </c>
      <c r="K53">
        <v>25599</v>
      </c>
      <c r="L53">
        <f t="shared" si="0"/>
        <v>118417</v>
      </c>
      <c r="M53" s="12">
        <f t="shared" si="1"/>
        <v>139732.06</v>
      </c>
      <c r="N53" s="13">
        <v>0</v>
      </c>
      <c r="O53" s="14" t="s">
        <v>311</v>
      </c>
      <c r="P53" t="s">
        <v>280</v>
      </c>
      <c r="Q53" t="s">
        <v>149</v>
      </c>
      <c r="T53" t="s">
        <v>57</v>
      </c>
      <c r="U53">
        <v>2143</v>
      </c>
      <c r="V53" t="s">
        <v>48</v>
      </c>
      <c r="W53" t="s">
        <v>59</v>
      </c>
      <c r="X53" t="s">
        <v>82</v>
      </c>
    </row>
    <row r="54" spans="1:24" x14ac:dyDescent="0.3">
      <c r="A54">
        <v>53</v>
      </c>
      <c r="B54" s="10">
        <v>45839</v>
      </c>
      <c r="C54" t="s">
        <v>312</v>
      </c>
      <c r="D54" t="s">
        <v>72</v>
      </c>
      <c r="E54" t="s">
        <v>26</v>
      </c>
      <c r="F54" t="s">
        <v>37</v>
      </c>
      <c r="G54" t="s">
        <v>28</v>
      </c>
      <c r="H54" s="11">
        <v>46220</v>
      </c>
      <c r="I54">
        <v>64602</v>
      </c>
      <c r="J54">
        <v>64602</v>
      </c>
      <c r="K54">
        <v>8297</v>
      </c>
      <c r="L54">
        <f t="shared" si="0"/>
        <v>72899</v>
      </c>
      <c r="M54" s="12">
        <f t="shared" si="1"/>
        <v>86020.82</v>
      </c>
      <c r="N54" s="13">
        <v>0.45</v>
      </c>
      <c r="O54" s="14" t="s">
        <v>313</v>
      </c>
      <c r="P54" t="s">
        <v>314</v>
      </c>
      <c r="Q54" t="s">
        <v>315</v>
      </c>
      <c r="T54" t="s">
        <v>316</v>
      </c>
      <c r="U54">
        <v>2925</v>
      </c>
      <c r="V54" t="s">
        <v>48</v>
      </c>
      <c r="W54" t="s">
        <v>34</v>
      </c>
      <c r="X54" t="s">
        <v>131</v>
      </c>
    </row>
    <row r="55" spans="1:24" x14ac:dyDescent="0.3">
      <c r="A55">
        <v>54</v>
      </c>
      <c r="B55" s="10">
        <v>45839</v>
      </c>
      <c r="C55" t="s">
        <v>317</v>
      </c>
      <c r="D55" t="s">
        <v>25</v>
      </c>
      <c r="E55" t="s">
        <v>26</v>
      </c>
      <c r="F55" t="s">
        <v>27</v>
      </c>
      <c r="G55" t="s">
        <v>28</v>
      </c>
      <c r="H55" s="11">
        <v>46220</v>
      </c>
      <c r="I55">
        <v>119072</v>
      </c>
      <c r="J55">
        <v>119072</v>
      </c>
      <c r="K55">
        <v>0</v>
      </c>
      <c r="L55">
        <f t="shared" si="0"/>
        <v>119072</v>
      </c>
      <c r="M55" s="12">
        <f t="shared" si="1"/>
        <v>140504.95999999999</v>
      </c>
      <c r="N55" s="13">
        <v>0.25</v>
      </c>
      <c r="O55" s="14" t="s">
        <v>318</v>
      </c>
      <c r="P55" t="s">
        <v>100</v>
      </c>
      <c r="Q55" t="s">
        <v>319</v>
      </c>
      <c r="T55" t="s">
        <v>320</v>
      </c>
      <c r="U55">
        <v>2997</v>
      </c>
      <c r="V55" t="s">
        <v>48</v>
      </c>
      <c r="W55" t="s">
        <v>321</v>
      </c>
      <c r="X55" t="s">
        <v>322</v>
      </c>
    </row>
    <row r="56" spans="1:24" x14ac:dyDescent="0.3">
      <c r="A56">
        <v>55</v>
      </c>
      <c r="B56" s="10">
        <v>45839</v>
      </c>
      <c r="C56" t="s">
        <v>323</v>
      </c>
      <c r="D56" t="s">
        <v>278</v>
      </c>
      <c r="E56" t="s">
        <v>26</v>
      </c>
      <c r="F56" t="s">
        <v>27</v>
      </c>
      <c r="G56" t="s">
        <v>28</v>
      </c>
      <c r="H56" s="11">
        <v>46227</v>
      </c>
      <c r="I56">
        <v>127808</v>
      </c>
      <c r="J56">
        <v>127808</v>
      </c>
      <c r="K56">
        <v>0</v>
      </c>
      <c r="L56">
        <f t="shared" si="0"/>
        <v>127808</v>
      </c>
      <c r="M56" s="12">
        <f t="shared" si="1"/>
        <v>150813.44</v>
      </c>
      <c r="N56" s="13">
        <v>0</v>
      </c>
      <c r="O56" s="14" t="s">
        <v>324</v>
      </c>
      <c r="P56" t="s">
        <v>270</v>
      </c>
      <c r="Q56" t="s">
        <v>325</v>
      </c>
      <c r="T56" t="s">
        <v>326</v>
      </c>
      <c r="U56">
        <v>1997</v>
      </c>
      <c r="V56" t="s">
        <v>33</v>
      </c>
      <c r="W56" t="s">
        <v>327</v>
      </c>
      <c r="X56" t="s">
        <v>35</v>
      </c>
    </row>
    <row r="57" spans="1:24" x14ac:dyDescent="0.3">
      <c r="A57">
        <v>56</v>
      </c>
      <c r="B57" s="10">
        <v>45839</v>
      </c>
      <c r="C57" t="s">
        <v>328</v>
      </c>
      <c r="D57" t="s">
        <v>72</v>
      </c>
      <c r="E57" t="s">
        <v>26</v>
      </c>
      <c r="F57" t="s">
        <v>37</v>
      </c>
      <c r="G57" t="s">
        <v>28</v>
      </c>
      <c r="H57" s="11">
        <v>46239</v>
      </c>
      <c r="I57">
        <v>72570</v>
      </c>
      <c r="J57">
        <v>72570</v>
      </c>
      <c r="K57">
        <v>8247</v>
      </c>
      <c r="L57">
        <f t="shared" si="0"/>
        <v>80817</v>
      </c>
      <c r="M57" s="12">
        <f t="shared" si="1"/>
        <v>95364.06</v>
      </c>
      <c r="N57" s="13">
        <v>0.2</v>
      </c>
      <c r="O57" s="14" t="s">
        <v>329</v>
      </c>
      <c r="P57" t="s">
        <v>100</v>
      </c>
      <c r="Q57" t="s">
        <v>330</v>
      </c>
      <c r="T57" t="s">
        <v>331</v>
      </c>
      <c r="U57">
        <v>2993</v>
      </c>
      <c r="V57" t="s">
        <v>48</v>
      </c>
      <c r="W57" t="s">
        <v>34</v>
      </c>
      <c r="X57" t="s">
        <v>131</v>
      </c>
    </row>
    <row r="58" spans="1:24" ht="43.2" x14ac:dyDescent="0.3">
      <c r="A58">
        <v>57</v>
      </c>
      <c r="B58" s="10">
        <v>45839</v>
      </c>
      <c r="C58" t="s">
        <v>332</v>
      </c>
      <c r="D58" t="s">
        <v>126</v>
      </c>
      <c r="E58" t="s">
        <v>26</v>
      </c>
      <c r="F58" t="s">
        <v>37</v>
      </c>
      <c r="G58" t="s">
        <v>140</v>
      </c>
      <c r="H58" s="11">
        <v>46219</v>
      </c>
      <c r="I58">
        <v>8951</v>
      </c>
      <c r="J58">
        <v>8951</v>
      </c>
      <c r="K58">
        <v>8277</v>
      </c>
      <c r="L58">
        <f t="shared" si="0"/>
        <v>17228</v>
      </c>
      <c r="M58" s="12">
        <f t="shared" si="1"/>
        <v>20329.04</v>
      </c>
      <c r="N58" s="13">
        <v>0</v>
      </c>
      <c r="O58" s="14" t="s">
        <v>333</v>
      </c>
      <c r="P58" t="s">
        <v>334</v>
      </c>
      <c r="Q58" s="19" t="s">
        <v>335</v>
      </c>
      <c r="T58" t="s">
        <v>336</v>
      </c>
      <c r="U58">
        <v>2755</v>
      </c>
      <c r="V58" t="s">
        <v>48</v>
      </c>
      <c r="W58" t="s">
        <v>118</v>
      </c>
      <c r="X58" t="s">
        <v>131</v>
      </c>
    </row>
    <row r="59" spans="1:24" x14ac:dyDescent="0.3">
      <c r="A59">
        <v>58</v>
      </c>
      <c r="B59" s="10">
        <v>45839</v>
      </c>
      <c r="C59" t="s">
        <v>337</v>
      </c>
      <c r="D59" t="s">
        <v>25</v>
      </c>
      <c r="E59" t="s">
        <v>26</v>
      </c>
      <c r="F59" t="s">
        <v>37</v>
      </c>
      <c r="G59" t="s">
        <v>140</v>
      </c>
      <c r="H59" s="11">
        <v>46221</v>
      </c>
      <c r="I59">
        <v>184269</v>
      </c>
      <c r="J59">
        <v>184269</v>
      </c>
      <c r="K59">
        <v>8137</v>
      </c>
      <c r="L59">
        <f t="shared" si="0"/>
        <v>192406</v>
      </c>
      <c r="M59" s="12">
        <f t="shared" si="1"/>
        <v>227039.08000000002</v>
      </c>
      <c r="N59" s="13">
        <v>0</v>
      </c>
      <c r="O59" s="14" t="s">
        <v>338</v>
      </c>
      <c r="P59" t="s">
        <v>339</v>
      </c>
      <c r="Q59" t="s">
        <v>340</v>
      </c>
      <c r="T59" t="s">
        <v>341</v>
      </c>
      <c r="U59">
        <v>215</v>
      </c>
      <c r="V59" t="s">
        <v>87</v>
      </c>
      <c r="W59" t="s">
        <v>171</v>
      </c>
      <c r="X59" t="s">
        <v>76</v>
      </c>
    </row>
    <row r="60" spans="1:24" x14ac:dyDescent="0.3">
      <c r="A60">
        <v>59</v>
      </c>
      <c r="B60" s="10">
        <v>45839</v>
      </c>
      <c r="C60" t="s">
        <v>342</v>
      </c>
      <c r="D60" t="s">
        <v>72</v>
      </c>
      <c r="E60" t="s">
        <v>26</v>
      </c>
      <c r="F60" t="s">
        <v>37</v>
      </c>
      <c r="G60" t="s">
        <v>28</v>
      </c>
      <c r="H60" s="11">
        <v>46226</v>
      </c>
      <c r="I60">
        <v>5381</v>
      </c>
      <c r="J60">
        <v>5381</v>
      </c>
      <c r="K60">
        <v>8322</v>
      </c>
      <c r="L60">
        <f t="shared" si="0"/>
        <v>13703</v>
      </c>
      <c r="M60" s="12">
        <f t="shared" si="1"/>
        <v>16169.54</v>
      </c>
      <c r="N60" s="13">
        <v>0</v>
      </c>
      <c r="O60" s="14" t="s">
        <v>343</v>
      </c>
      <c r="P60" t="s">
        <v>344</v>
      </c>
      <c r="Q60" t="s">
        <v>345</v>
      </c>
      <c r="T60" t="s">
        <v>346</v>
      </c>
      <c r="U60">
        <v>1598</v>
      </c>
      <c r="V60" t="s">
        <v>33</v>
      </c>
      <c r="W60" t="s">
        <v>34</v>
      </c>
      <c r="X60" t="s">
        <v>131</v>
      </c>
    </row>
    <row r="61" spans="1:24" x14ac:dyDescent="0.3">
      <c r="A61">
        <v>60</v>
      </c>
      <c r="B61" s="10">
        <v>45839</v>
      </c>
      <c r="C61" t="s">
        <v>347</v>
      </c>
      <c r="D61" t="s">
        <v>302</v>
      </c>
      <c r="E61" t="s">
        <v>297</v>
      </c>
      <c r="F61" t="s">
        <v>298</v>
      </c>
      <c r="G61" t="s">
        <v>53</v>
      </c>
      <c r="H61" s="11">
        <v>46219</v>
      </c>
      <c r="I61">
        <v>26389</v>
      </c>
      <c r="J61" s="15">
        <v>26389</v>
      </c>
      <c r="K61">
        <v>0</v>
      </c>
      <c r="L61">
        <f t="shared" si="0"/>
        <v>26389</v>
      </c>
      <c r="M61" s="12">
        <f t="shared" si="1"/>
        <v>31139.02</v>
      </c>
      <c r="N61" s="13">
        <v>0</v>
      </c>
      <c r="O61" s="14" t="s">
        <v>348</v>
      </c>
      <c r="P61" t="s">
        <v>300</v>
      </c>
      <c r="Q61" t="s">
        <v>300</v>
      </c>
      <c r="T61" t="s">
        <v>300</v>
      </c>
      <c r="U61" s="16" t="s">
        <v>300</v>
      </c>
      <c r="V61" t="s">
        <v>300</v>
      </c>
      <c r="W61" t="s">
        <v>59</v>
      </c>
      <c r="X61" t="s">
        <v>243</v>
      </c>
    </row>
    <row r="62" spans="1:24" x14ac:dyDescent="0.3">
      <c r="A62">
        <v>61</v>
      </c>
      <c r="B62" s="10">
        <v>45839</v>
      </c>
      <c r="C62" t="s">
        <v>349</v>
      </c>
      <c r="D62" t="s">
        <v>52</v>
      </c>
      <c r="E62" t="s">
        <v>26</v>
      </c>
      <c r="F62" t="s">
        <v>37</v>
      </c>
      <c r="G62" t="s">
        <v>53</v>
      </c>
      <c r="H62" s="11">
        <v>46219</v>
      </c>
      <c r="I62">
        <v>25969</v>
      </c>
      <c r="J62">
        <v>25969</v>
      </c>
      <c r="K62">
        <v>25871</v>
      </c>
      <c r="L62">
        <f t="shared" si="0"/>
        <v>51840</v>
      </c>
      <c r="M62" s="12">
        <f t="shared" si="1"/>
        <v>61171.199999999997</v>
      </c>
      <c r="N62" s="13">
        <v>0</v>
      </c>
      <c r="O62" s="14" t="s">
        <v>350</v>
      </c>
      <c r="P62" t="s">
        <v>351</v>
      </c>
      <c r="Q62" t="s">
        <v>352</v>
      </c>
      <c r="T62" t="s">
        <v>57</v>
      </c>
      <c r="U62">
        <v>2184</v>
      </c>
      <c r="V62" t="s">
        <v>48</v>
      </c>
      <c r="W62" t="s">
        <v>59</v>
      </c>
      <c r="X62" t="s">
        <v>50</v>
      </c>
    </row>
    <row r="63" spans="1:24" x14ac:dyDescent="0.3">
      <c r="A63">
        <v>62</v>
      </c>
      <c r="B63" s="10">
        <v>45839</v>
      </c>
      <c r="C63" t="s">
        <v>353</v>
      </c>
      <c r="D63" t="s">
        <v>52</v>
      </c>
      <c r="E63" t="s">
        <v>297</v>
      </c>
      <c r="F63" t="s">
        <v>354</v>
      </c>
      <c r="G63" t="s">
        <v>53</v>
      </c>
      <c r="H63" s="11">
        <v>46216</v>
      </c>
      <c r="I63">
        <v>92025</v>
      </c>
      <c r="J63">
        <v>92025</v>
      </c>
      <c r="K63">
        <v>0</v>
      </c>
      <c r="L63">
        <f t="shared" si="0"/>
        <v>92025</v>
      </c>
      <c r="M63" s="12">
        <f t="shared" si="1"/>
        <v>108589.5</v>
      </c>
      <c r="N63" s="13">
        <v>0</v>
      </c>
      <c r="O63" s="14" t="s">
        <v>355</v>
      </c>
      <c r="P63" t="s">
        <v>300</v>
      </c>
      <c r="Q63" t="s">
        <v>300</v>
      </c>
      <c r="T63" t="s">
        <v>300</v>
      </c>
      <c r="U63" s="16" t="s">
        <v>300</v>
      </c>
      <c r="V63" t="s">
        <v>300</v>
      </c>
      <c r="W63" t="s">
        <v>300</v>
      </c>
      <c r="X63" t="s">
        <v>76</v>
      </c>
    </row>
    <row r="64" spans="1:24" x14ac:dyDescent="0.3">
      <c r="A64">
        <v>63</v>
      </c>
      <c r="B64" s="10">
        <v>45839</v>
      </c>
      <c r="C64" t="s">
        <v>356</v>
      </c>
      <c r="D64" t="s">
        <v>126</v>
      </c>
      <c r="E64" t="s">
        <v>26</v>
      </c>
      <c r="F64" t="s">
        <v>37</v>
      </c>
      <c r="G64" t="s">
        <v>28</v>
      </c>
      <c r="H64" s="11">
        <v>46220</v>
      </c>
      <c r="I64">
        <v>4678</v>
      </c>
      <c r="J64">
        <v>4678</v>
      </c>
      <c r="K64">
        <v>3796</v>
      </c>
      <c r="L64">
        <f t="shared" si="0"/>
        <v>8474</v>
      </c>
      <c r="M64" s="12">
        <f t="shared" si="1"/>
        <v>9999.32</v>
      </c>
      <c r="N64" s="13">
        <v>0</v>
      </c>
      <c r="O64" s="14" t="s">
        <v>357</v>
      </c>
      <c r="P64" t="s">
        <v>358</v>
      </c>
      <c r="Q64" t="s">
        <v>359</v>
      </c>
      <c r="T64" t="s">
        <v>360</v>
      </c>
      <c r="U64">
        <v>1497</v>
      </c>
      <c r="V64" t="s">
        <v>33</v>
      </c>
      <c r="W64" t="s">
        <v>112</v>
      </c>
      <c r="X64" t="s">
        <v>131</v>
      </c>
    </row>
    <row r="65" spans="1:24" x14ac:dyDescent="0.3">
      <c r="A65">
        <v>64</v>
      </c>
      <c r="B65" s="10">
        <v>45839</v>
      </c>
      <c r="C65" t="s">
        <v>361</v>
      </c>
      <c r="D65" t="s">
        <v>72</v>
      </c>
      <c r="E65" t="s">
        <v>26</v>
      </c>
      <c r="F65" t="s">
        <v>37</v>
      </c>
      <c r="G65" t="s">
        <v>28</v>
      </c>
      <c r="H65" s="11">
        <v>46222</v>
      </c>
      <c r="I65">
        <v>864</v>
      </c>
      <c r="J65">
        <v>864</v>
      </c>
      <c r="K65">
        <v>3841</v>
      </c>
      <c r="L65">
        <f t="shared" si="0"/>
        <v>4705</v>
      </c>
      <c r="M65" s="12">
        <f t="shared" si="1"/>
        <v>5551.9</v>
      </c>
      <c r="N65" s="13">
        <v>0.2</v>
      </c>
      <c r="O65" s="14" t="s">
        <v>362</v>
      </c>
      <c r="P65" t="s">
        <v>363</v>
      </c>
      <c r="Q65" t="s">
        <v>364</v>
      </c>
      <c r="T65" t="s">
        <v>365</v>
      </c>
      <c r="U65">
        <v>1198</v>
      </c>
      <c r="V65" t="s">
        <v>33</v>
      </c>
      <c r="W65" t="s">
        <v>118</v>
      </c>
      <c r="X65" t="s">
        <v>82</v>
      </c>
    </row>
    <row r="66" spans="1:24" x14ac:dyDescent="0.3">
      <c r="A66">
        <v>65</v>
      </c>
      <c r="B66" s="10">
        <v>45839</v>
      </c>
      <c r="C66" t="s">
        <v>366</v>
      </c>
      <c r="D66" t="s">
        <v>72</v>
      </c>
      <c r="E66" t="s">
        <v>26</v>
      </c>
      <c r="F66" t="s">
        <v>27</v>
      </c>
      <c r="G66" t="s">
        <v>28</v>
      </c>
      <c r="H66" s="11">
        <v>46221</v>
      </c>
      <c r="I66">
        <v>31919</v>
      </c>
      <c r="J66">
        <v>31919</v>
      </c>
      <c r="K66">
        <v>0</v>
      </c>
      <c r="L66">
        <f t="shared" ref="L66:L129" si="2">J66+K66</f>
        <v>31919</v>
      </c>
      <c r="M66" s="12">
        <f t="shared" si="1"/>
        <v>37664.42</v>
      </c>
      <c r="N66" s="13">
        <v>0</v>
      </c>
      <c r="O66" s="14" t="s">
        <v>367</v>
      </c>
      <c r="P66" t="s">
        <v>109</v>
      </c>
      <c r="Q66" t="s">
        <v>368</v>
      </c>
      <c r="T66" t="s">
        <v>369</v>
      </c>
      <c r="U66">
        <v>1451</v>
      </c>
      <c r="V66" t="s">
        <v>33</v>
      </c>
      <c r="W66" t="s">
        <v>370</v>
      </c>
      <c r="X66" t="s">
        <v>131</v>
      </c>
    </row>
    <row r="67" spans="1:24" x14ac:dyDescent="0.3">
      <c r="A67">
        <v>66</v>
      </c>
      <c r="B67" s="10">
        <v>45839</v>
      </c>
      <c r="C67" t="s">
        <v>371</v>
      </c>
      <c r="D67" t="s">
        <v>25</v>
      </c>
      <c r="E67" t="s">
        <v>26</v>
      </c>
      <c r="F67" t="s">
        <v>37</v>
      </c>
      <c r="G67" t="s">
        <v>28</v>
      </c>
      <c r="H67" s="11">
        <v>46224</v>
      </c>
      <c r="I67">
        <v>41381</v>
      </c>
      <c r="J67">
        <v>41381</v>
      </c>
      <c r="K67">
        <v>8622</v>
      </c>
      <c r="L67">
        <f t="shared" si="2"/>
        <v>50003</v>
      </c>
      <c r="M67" s="12">
        <f t="shared" ref="M67:M130" si="3">(L67)+(L67*18%)</f>
        <v>59003.54</v>
      </c>
      <c r="N67" s="13">
        <v>0.45</v>
      </c>
      <c r="O67" s="14" t="s">
        <v>372</v>
      </c>
      <c r="P67" t="s">
        <v>339</v>
      </c>
      <c r="Q67" t="s">
        <v>373</v>
      </c>
      <c r="T67" t="s">
        <v>374</v>
      </c>
      <c r="U67">
        <v>1950</v>
      </c>
      <c r="V67" t="s">
        <v>48</v>
      </c>
      <c r="W67" t="s">
        <v>118</v>
      </c>
      <c r="X67" t="s">
        <v>76</v>
      </c>
    </row>
    <row r="68" spans="1:24" x14ac:dyDescent="0.3">
      <c r="A68">
        <v>67</v>
      </c>
      <c r="B68" s="10">
        <v>45839</v>
      </c>
      <c r="C68" t="s">
        <v>375</v>
      </c>
      <c r="D68" t="s">
        <v>25</v>
      </c>
      <c r="E68" t="s">
        <v>26</v>
      </c>
      <c r="F68" t="s">
        <v>37</v>
      </c>
      <c r="G68" t="s">
        <v>28</v>
      </c>
      <c r="H68" s="11">
        <v>46224</v>
      </c>
      <c r="I68">
        <v>8458</v>
      </c>
      <c r="J68">
        <v>8458</v>
      </c>
      <c r="K68">
        <v>2819</v>
      </c>
      <c r="L68">
        <f t="shared" si="2"/>
        <v>11277</v>
      </c>
      <c r="M68" s="12">
        <f t="shared" si="3"/>
        <v>13306.86</v>
      </c>
      <c r="N68" s="13">
        <v>0.35</v>
      </c>
      <c r="O68" s="14" t="s">
        <v>376</v>
      </c>
      <c r="P68" t="s">
        <v>62</v>
      </c>
      <c r="Q68" t="s">
        <v>377</v>
      </c>
      <c r="T68" t="s">
        <v>378</v>
      </c>
      <c r="U68">
        <v>998</v>
      </c>
      <c r="V68" t="s">
        <v>48</v>
      </c>
      <c r="W68" t="s">
        <v>379</v>
      </c>
      <c r="X68" t="s">
        <v>35</v>
      </c>
    </row>
    <row r="69" spans="1:24" x14ac:dyDescent="0.3">
      <c r="A69">
        <v>68</v>
      </c>
      <c r="B69" s="10">
        <v>45839</v>
      </c>
      <c r="C69" t="s">
        <v>380</v>
      </c>
      <c r="D69" t="s">
        <v>72</v>
      </c>
      <c r="E69" t="s">
        <v>26</v>
      </c>
      <c r="F69" t="s">
        <v>37</v>
      </c>
      <c r="G69" t="s">
        <v>28</v>
      </c>
      <c r="H69" s="11">
        <v>46222</v>
      </c>
      <c r="I69">
        <v>7915</v>
      </c>
      <c r="J69">
        <v>7915</v>
      </c>
      <c r="K69">
        <v>3841</v>
      </c>
      <c r="L69">
        <f t="shared" si="2"/>
        <v>11756</v>
      </c>
      <c r="M69" s="12">
        <f t="shared" si="3"/>
        <v>13872.08</v>
      </c>
      <c r="N69" s="13">
        <v>0.45</v>
      </c>
      <c r="O69" s="14" t="s">
        <v>381</v>
      </c>
      <c r="P69" t="s">
        <v>382</v>
      </c>
      <c r="Q69" t="s">
        <v>383</v>
      </c>
      <c r="T69" t="s">
        <v>384</v>
      </c>
      <c r="U69">
        <v>1497</v>
      </c>
      <c r="V69" t="s">
        <v>48</v>
      </c>
      <c r="W69" t="s">
        <v>283</v>
      </c>
      <c r="X69" t="s">
        <v>35</v>
      </c>
    </row>
    <row r="70" spans="1:24" x14ac:dyDescent="0.3">
      <c r="A70">
        <v>69</v>
      </c>
      <c r="B70" s="10">
        <v>45839</v>
      </c>
      <c r="C70" t="s">
        <v>385</v>
      </c>
      <c r="D70" t="s">
        <v>278</v>
      </c>
      <c r="E70" t="s">
        <v>26</v>
      </c>
      <c r="F70" t="s">
        <v>37</v>
      </c>
      <c r="G70" t="s">
        <v>140</v>
      </c>
      <c r="H70" s="11">
        <v>46223</v>
      </c>
      <c r="I70">
        <v>75498</v>
      </c>
      <c r="J70">
        <v>75498</v>
      </c>
      <c r="K70">
        <v>8437</v>
      </c>
      <c r="L70">
        <f t="shared" si="2"/>
        <v>83935</v>
      </c>
      <c r="M70" s="12">
        <f t="shared" si="3"/>
        <v>99043.3</v>
      </c>
      <c r="N70" s="13">
        <v>0</v>
      </c>
      <c r="O70" s="14" t="s">
        <v>386</v>
      </c>
      <c r="P70" t="s">
        <v>270</v>
      </c>
      <c r="Q70" t="s">
        <v>387</v>
      </c>
      <c r="T70" t="s">
        <v>388</v>
      </c>
      <c r="U70">
        <v>1999</v>
      </c>
      <c r="V70" t="s">
        <v>48</v>
      </c>
      <c r="W70" t="s">
        <v>283</v>
      </c>
      <c r="X70" t="s">
        <v>131</v>
      </c>
    </row>
    <row r="71" spans="1:24" x14ac:dyDescent="0.3">
      <c r="A71">
        <v>70</v>
      </c>
      <c r="B71" s="10">
        <v>45839</v>
      </c>
      <c r="C71" t="s">
        <v>389</v>
      </c>
      <c r="D71" t="s">
        <v>72</v>
      </c>
      <c r="E71" t="s">
        <v>26</v>
      </c>
      <c r="F71" t="s">
        <v>37</v>
      </c>
      <c r="G71" t="s">
        <v>28</v>
      </c>
      <c r="H71" s="11">
        <v>46224</v>
      </c>
      <c r="I71">
        <v>12943</v>
      </c>
      <c r="J71">
        <v>12943</v>
      </c>
      <c r="K71">
        <v>0</v>
      </c>
      <c r="L71">
        <f t="shared" si="2"/>
        <v>12943</v>
      </c>
      <c r="M71" s="12">
        <f t="shared" si="3"/>
        <v>15272.74</v>
      </c>
      <c r="N71" s="13">
        <v>0.2</v>
      </c>
      <c r="O71" s="14" t="s">
        <v>390</v>
      </c>
      <c r="P71" t="s">
        <v>391</v>
      </c>
      <c r="Q71" t="s">
        <v>392</v>
      </c>
      <c r="T71" t="s">
        <v>393</v>
      </c>
      <c r="U71">
        <v>1497</v>
      </c>
      <c r="V71" t="s">
        <v>48</v>
      </c>
      <c r="W71" t="s">
        <v>394</v>
      </c>
      <c r="X71" t="s">
        <v>50</v>
      </c>
    </row>
    <row r="72" spans="1:24" x14ac:dyDescent="0.3">
      <c r="A72">
        <v>71</v>
      </c>
      <c r="B72" s="10">
        <v>45839</v>
      </c>
      <c r="C72" t="s">
        <v>395</v>
      </c>
      <c r="D72" t="s">
        <v>52</v>
      </c>
      <c r="E72" t="s">
        <v>26</v>
      </c>
      <c r="F72" t="s">
        <v>37</v>
      </c>
      <c r="G72" t="s">
        <v>53</v>
      </c>
      <c r="H72" s="11">
        <v>46225</v>
      </c>
      <c r="I72">
        <v>64313</v>
      </c>
      <c r="J72">
        <v>64313</v>
      </c>
      <c r="K72">
        <v>24746</v>
      </c>
      <c r="L72">
        <f t="shared" si="2"/>
        <v>89059</v>
      </c>
      <c r="M72" s="12">
        <f t="shared" si="3"/>
        <v>105089.62</v>
      </c>
      <c r="N72" s="13">
        <v>0</v>
      </c>
      <c r="O72" s="14" t="s">
        <v>396</v>
      </c>
      <c r="P72" t="s">
        <v>397</v>
      </c>
      <c r="Q72" t="s">
        <v>398</v>
      </c>
      <c r="T72" t="s">
        <v>57</v>
      </c>
      <c r="U72">
        <v>2755</v>
      </c>
      <c r="V72" t="s">
        <v>48</v>
      </c>
      <c r="W72" t="s">
        <v>59</v>
      </c>
      <c r="X72" t="s">
        <v>35</v>
      </c>
    </row>
    <row r="73" spans="1:24" x14ac:dyDescent="0.3">
      <c r="A73">
        <v>72</v>
      </c>
      <c r="B73" s="10">
        <v>45839</v>
      </c>
      <c r="C73" t="s">
        <v>399</v>
      </c>
      <c r="D73" t="s">
        <v>52</v>
      </c>
      <c r="E73" t="s">
        <v>26</v>
      </c>
      <c r="F73" t="s">
        <v>27</v>
      </c>
      <c r="G73" t="s">
        <v>28</v>
      </c>
      <c r="H73" s="11">
        <v>46234</v>
      </c>
      <c r="I73">
        <v>108475</v>
      </c>
      <c r="J73">
        <v>108475</v>
      </c>
      <c r="K73">
        <v>0</v>
      </c>
      <c r="L73">
        <f t="shared" si="2"/>
        <v>108475</v>
      </c>
      <c r="M73" s="12">
        <f t="shared" si="3"/>
        <v>128000.5</v>
      </c>
      <c r="N73" s="13">
        <v>0.2</v>
      </c>
      <c r="O73" s="14" t="s">
        <v>400</v>
      </c>
      <c r="P73" t="s">
        <v>401</v>
      </c>
      <c r="Q73" t="s">
        <v>402</v>
      </c>
      <c r="T73" t="s">
        <v>403</v>
      </c>
      <c r="U73">
        <v>1997</v>
      </c>
      <c r="V73" t="s">
        <v>33</v>
      </c>
      <c r="W73" t="s">
        <v>171</v>
      </c>
      <c r="X73" t="s">
        <v>50</v>
      </c>
    </row>
    <row r="74" spans="1:24" x14ac:dyDescent="0.3">
      <c r="A74">
        <v>73</v>
      </c>
      <c r="B74" s="10">
        <v>45839</v>
      </c>
      <c r="C74" t="s">
        <v>132</v>
      </c>
      <c r="D74" t="s">
        <v>133</v>
      </c>
      <c r="E74" t="s">
        <v>26</v>
      </c>
      <c r="F74" t="s">
        <v>134</v>
      </c>
      <c r="G74" t="s">
        <v>28</v>
      </c>
      <c r="H74" s="11">
        <v>46223</v>
      </c>
      <c r="I74">
        <v>29273</v>
      </c>
      <c r="J74">
        <v>8741</v>
      </c>
      <c r="K74">
        <v>20532</v>
      </c>
      <c r="L74">
        <f t="shared" si="2"/>
        <v>29273</v>
      </c>
      <c r="M74" s="12">
        <f t="shared" si="3"/>
        <v>34542.14</v>
      </c>
      <c r="N74" s="13">
        <v>0.25</v>
      </c>
      <c r="O74" s="14" t="s">
        <v>404</v>
      </c>
      <c r="P74" t="s">
        <v>405</v>
      </c>
      <c r="Q74" t="s">
        <v>406</v>
      </c>
      <c r="T74" t="s">
        <v>407</v>
      </c>
      <c r="U74">
        <v>2494</v>
      </c>
      <c r="V74" t="s">
        <v>48</v>
      </c>
      <c r="W74" t="s">
        <v>34</v>
      </c>
      <c r="X74" t="s">
        <v>35</v>
      </c>
    </row>
    <row r="75" spans="1:24" x14ac:dyDescent="0.3">
      <c r="A75">
        <v>74</v>
      </c>
      <c r="B75" s="10">
        <v>45839</v>
      </c>
      <c r="C75" t="s">
        <v>408</v>
      </c>
      <c r="D75" t="s">
        <v>72</v>
      </c>
      <c r="E75" t="s">
        <v>26</v>
      </c>
      <c r="F75" t="s">
        <v>37</v>
      </c>
      <c r="G75" t="s">
        <v>28</v>
      </c>
      <c r="H75" s="11">
        <v>46200</v>
      </c>
      <c r="I75">
        <v>729</v>
      </c>
      <c r="J75">
        <v>729</v>
      </c>
      <c r="K75">
        <v>4341</v>
      </c>
      <c r="L75">
        <f t="shared" si="2"/>
        <v>5070</v>
      </c>
      <c r="M75" s="12">
        <f t="shared" si="3"/>
        <v>5982.6</v>
      </c>
      <c r="N75" s="13">
        <v>0.5</v>
      </c>
      <c r="O75" s="14" t="s">
        <v>409</v>
      </c>
      <c r="P75" t="s">
        <v>410</v>
      </c>
      <c r="Q75" t="s">
        <v>411</v>
      </c>
      <c r="T75" t="s">
        <v>412</v>
      </c>
      <c r="U75">
        <v>1497</v>
      </c>
      <c r="V75" t="s">
        <v>33</v>
      </c>
      <c r="W75" t="s">
        <v>413</v>
      </c>
      <c r="X75" t="s">
        <v>414</v>
      </c>
    </row>
    <row r="76" spans="1:24" ht="72" x14ac:dyDescent="0.3">
      <c r="A76">
        <v>75</v>
      </c>
      <c r="B76" s="10">
        <v>45839</v>
      </c>
      <c r="C76" t="s">
        <v>415</v>
      </c>
      <c r="D76" t="s">
        <v>72</v>
      </c>
      <c r="E76" t="s">
        <v>26</v>
      </c>
      <c r="F76" t="s">
        <v>37</v>
      </c>
      <c r="G76" t="s">
        <v>28</v>
      </c>
      <c r="H76" s="11">
        <v>46244</v>
      </c>
      <c r="I76">
        <v>534</v>
      </c>
      <c r="J76">
        <v>534</v>
      </c>
      <c r="K76">
        <v>4341</v>
      </c>
      <c r="L76">
        <f t="shared" si="2"/>
        <v>4875</v>
      </c>
      <c r="M76" s="12">
        <f t="shared" si="3"/>
        <v>5752.5</v>
      </c>
      <c r="N76" s="13">
        <v>0.5</v>
      </c>
      <c r="O76" s="14" t="s">
        <v>416</v>
      </c>
      <c r="P76" s="19" t="s">
        <v>382</v>
      </c>
      <c r="Q76" s="19" t="s">
        <v>417</v>
      </c>
      <c r="T76" t="s">
        <v>418</v>
      </c>
      <c r="U76">
        <v>1198</v>
      </c>
      <c r="V76" t="s">
        <v>33</v>
      </c>
      <c r="W76" t="s">
        <v>34</v>
      </c>
      <c r="X76" t="s">
        <v>414</v>
      </c>
    </row>
    <row r="77" spans="1:24" x14ac:dyDescent="0.3">
      <c r="A77">
        <v>76</v>
      </c>
      <c r="B77" s="10">
        <v>45839</v>
      </c>
      <c r="C77" t="s">
        <v>408</v>
      </c>
      <c r="D77" t="s">
        <v>52</v>
      </c>
      <c r="E77" t="s">
        <v>26</v>
      </c>
      <c r="F77" t="s">
        <v>37</v>
      </c>
      <c r="G77" t="s">
        <v>28</v>
      </c>
      <c r="H77" s="11">
        <v>46242</v>
      </c>
      <c r="I77">
        <v>24952</v>
      </c>
      <c r="J77">
        <v>24952</v>
      </c>
      <c r="K77">
        <v>8822</v>
      </c>
      <c r="L77">
        <f t="shared" si="2"/>
        <v>33774</v>
      </c>
      <c r="M77" s="12">
        <f t="shared" si="3"/>
        <v>39853.32</v>
      </c>
      <c r="N77" s="13">
        <v>0.5</v>
      </c>
      <c r="O77" s="14" t="s">
        <v>419</v>
      </c>
      <c r="P77" t="s">
        <v>420</v>
      </c>
      <c r="Q77" t="s">
        <v>421</v>
      </c>
      <c r="T77" t="s">
        <v>422</v>
      </c>
      <c r="U77">
        <v>2198</v>
      </c>
      <c r="V77" t="s">
        <v>48</v>
      </c>
      <c r="W77" t="s">
        <v>34</v>
      </c>
      <c r="X77" t="s">
        <v>414</v>
      </c>
    </row>
    <row r="78" spans="1:24" x14ac:dyDescent="0.3">
      <c r="A78">
        <v>77</v>
      </c>
      <c r="B78" s="10">
        <v>45839</v>
      </c>
      <c r="C78" t="s">
        <v>423</v>
      </c>
      <c r="D78" t="s">
        <v>72</v>
      </c>
      <c r="E78" t="s">
        <v>26</v>
      </c>
      <c r="F78" t="s">
        <v>37</v>
      </c>
      <c r="G78" t="s">
        <v>28</v>
      </c>
      <c r="H78" s="11">
        <v>46239</v>
      </c>
      <c r="I78">
        <v>18665</v>
      </c>
      <c r="J78">
        <v>18665</v>
      </c>
      <c r="K78">
        <v>3791</v>
      </c>
      <c r="L78">
        <f t="shared" si="2"/>
        <v>22456</v>
      </c>
      <c r="M78" s="12">
        <f t="shared" si="3"/>
        <v>26498.080000000002</v>
      </c>
      <c r="N78" s="13">
        <v>0</v>
      </c>
      <c r="O78" s="14" t="s">
        <v>424</v>
      </c>
      <c r="P78" t="s">
        <v>39</v>
      </c>
      <c r="Q78" t="s">
        <v>163</v>
      </c>
      <c r="T78" t="s">
        <v>425</v>
      </c>
      <c r="U78">
        <v>1497</v>
      </c>
      <c r="V78" t="s">
        <v>33</v>
      </c>
      <c r="W78" t="s">
        <v>112</v>
      </c>
      <c r="X78" t="s">
        <v>131</v>
      </c>
    </row>
    <row r="79" spans="1:24" x14ac:dyDescent="0.3">
      <c r="A79">
        <v>78</v>
      </c>
      <c r="B79" s="10">
        <v>45839</v>
      </c>
      <c r="C79" t="s">
        <v>426</v>
      </c>
      <c r="D79" t="s">
        <v>25</v>
      </c>
      <c r="E79" t="s">
        <v>26</v>
      </c>
      <c r="F79" t="s">
        <v>27</v>
      </c>
      <c r="G79" t="s">
        <v>28</v>
      </c>
      <c r="H79" s="11">
        <v>46234</v>
      </c>
      <c r="I79">
        <v>174825</v>
      </c>
      <c r="J79">
        <v>174825</v>
      </c>
      <c r="K79">
        <v>0</v>
      </c>
      <c r="L79">
        <f t="shared" si="2"/>
        <v>174825</v>
      </c>
      <c r="M79" s="12">
        <f t="shared" si="3"/>
        <v>206293.5</v>
      </c>
      <c r="N79" s="13">
        <v>0.2</v>
      </c>
      <c r="O79" s="14" t="s">
        <v>427</v>
      </c>
      <c r="P79" t="s">
        <v>428</v>
      </c>
      <c r="Q79" t="s">
        <v>429</v>
      </c>
      <c r="T79" t="s">
        <v>430</v>
      </c>
      <c r="U79">
        <v>2995</v>
      </c>
      <c r="V79" t="s">
        <v>33</v>
      </c>
      <c r="W79" t="s">
        <v>431</v>
      </c>
      <c r="X79" t="s">
        <v>151</v>
      </c>
    </row>
    <row r="80" spans="1:24" x14ac:dyDescent="0.3">
      <c r="A80">
        <v>79</v>
      </c>
      <c r="B80" s="10">
        <v>45839</v>
      </c>
      <c r="C80" t="s">
        <v>432</v>
      </c>
      <c r="D80" t="s">
        <v>72</v>
      </c>
      <c r="E80" t="s">
        <v>26</v>
      </c>
      <c r="F80" t="s">
        <v>27</v>
      </c>
      <c r="G80" t="s">
        <v>28</v>
      </c>
      <c r="H80" s="11">
        <v>46232</v>
      </c>
      <c r="I80">
        <v>7426</v>
      </c>
      <c r="J80">
        <v>7426</v>
      </c>
      <c r="K80">
        <v>0</v>
      </c>
      <c r="L80">
        <f t="shared" si="2"/>
        <v>7426</v>
      </c>
      <c r="M80" s="12">
        <f t="shared" si="3"/>
        <v>8762.68</v>
      </c>
      <c r="N80" s="13">
        <v>0.25</v>
      </c>
      <c r="O80" s="14" t="s">
        <v>433</v>
      </c>
      <c r="P80" t="s">
        <v>434</v>
      </c>
      <c r="Q80" t="s">
        <v>435</v>
      </c>
      <c r="T80" t="s">
        <v>436</v>
      </c>
      <c r="U80">
        <v>1197</v>
      </c>
      <c r="V80" t="s">
        <v>33</v>
      </c>
      <c r="W80" t="s">
        <v>437</v>
      </c>
      <c r="X80" t="s">
        <v>131</v>
      </c>
    </row>
    <row r="81" spans="1:24" x14ac:dyDescent="0.3">
      <c r="A81">
        <v>80</v>
      </c>
      <c r="B81" s="10">
        <v>45839</v>
      </c>
      <c r="C81" t="s">
        <v>438</v>
      </c>
      <c r="D81" t="s">
        <v>72</v>
      </c>
      <c r="E81" t="s">
        <v>26</v>
      </c>
      <c r="F81" t="s">
        <v>37</v>
      </c>
      <c r="G81" t="s">
        <v>28</v>
      </c>
      <c r="H81" s="11">
        <v>46231</v>
      </c>
      <c r="I81">
        <v>50072</v>
      </c>
      <c r="J81">
        <v>50072</v>
      </c>
      <c r="K81">
        <v>8322</v>
      </c>
      <c r="L81">
        <f t="shared" si="2"/>
        <v>58394</v>
      </c>
      <c r="M81" s="12">
        <f t="shared" si="3"/>
        <v>68904.92</v>
      </c>
      <c r="N81" s="13">
        <v>0.5</v>
      </c>
      <c r="O81" s="14" t="s">
        <v>439</v>
      </c>
      <c r="P81" t="s">
        <v>270</v>
      </c>
      <c r="Q81" t="s">
        <v>440</v>
      </c>
      <c r="T81" t="s">
        <v>441</v>
      </c>
      <c r="U81">
        <v>1997</v>
      </c>
      <c r="V81" t="s">
        <v>33</v>
      </c>
      <c r="W81" t="s">
        <v>165</v>
      </c>
      <c r="X81" t="s">
        <v>322</v>
      </c>
    </row>
    <row r="82" spans="1:24" x14ac:dyDescent="0.3">
      <c r="A82">
        <v>81</v>
      </c>
      <c r="B82" s="10">
        <v>45839</v>
      </c>
      <c r="C82" t="s">
        <v>442</v>
      </c>
      <c r="D82" t="s">
        <v>52</v>
      </c>
      <c r="E82" t="s">
        <v>26</v>
      </c>
      <c r="F82" t="s">
        <v>443</v>
      </c>
      <c r="G82" t="s">
        <v>28</v>
      </c>
      <c r="H82" s="11">
        <v>46227</v>
      </c>
      <c r="I82">
        <v>17320</v>
      </c>
      <c r="J82">
        <v>796</v>
      </c>
      <c r="K82">
        <v>16524</v>
      </c>
      <c r="L82">
        <f t="shared" si="2"/>
        <v>17320</v>
      </c>
      <c r="M82" s="12">
        <f t="shared" si="3"/>
        <v>20437.599999999999</v>
      </c>
      <c r="N82" s="13">
        <v>0.35</v>
      </c>
      <c r="O82" s="14" t="s">
        <v>444</v>
      </c>
      <c r="P82" t="s">
        <v>445</v>
      </c>
      <c r="Q82" t="s">
        <v>446</v>
      </c>
      <c r="T82" t="s">
        <v>447</v>
      </c>
      <c r="U82">
        <v>1345</v>
      </c>
      <c r="V82" t="s">
        <v>48</v>
      </c>
      <c r="W82" t="s">
        <v>118</v>
      </c>
      <c r="X82" t="s">
        <v>50</v>
      </c>
    </row>
    <row r="83" spans="1:24" x14ac:dyDescent="0.3">
      <c r="A83">
        <v>82</v>
      </c>
      <c r="B83" s="10">
        <v>45839</v>
      </c>
      <c r="C83" t="s">
        <v>448</v>
      </c>
      <c r="D83" t="s">
        <v>126</v>
      </c>
      <c r="E83" t="s">
        <v>26</v>
      </c>
      <c r="F83" t="s">
        <v>27</v>
      </c>
      <c r="G83" t="s">
        <v>28</v>
      </c>
      <c r="H83" s="11">
        <v>46228</v>
      </c>
      <c r="I83">
        <v>36718</v>
      </c>
      <c r="J83">
        <v>36718</v>
      </c>
      <c r="K83">
        <v>0</v>
      </c>
      <c r="L83">
        <f t="shared" si="2"/>
        <v>36718</v>
      </c>
      <c r="M83" s="12">
        <f t="shared" si="3"/>
        <v>43327.24</v>
      </c>
      <c r="N83" s="13">
        <v>0</v>
      </c>
      <c r="O83" s="14" t="s">
        <v>449</v>
      </c>
      <c r="P83" t="s">
        <v>450</v>
      </c>
      <c r="Q83" t="s">
        <v>451</v>
      </c>
      <c r="T83" t="s">
        <v>452</v>
      </c>
      <c r="U83">
        <v>2184</v>
      </c>
      <c r="V83" t="s">
        <v>48</v>
      </c>
      <c r="W83" t="s">
        <v>171</v>
      </c>
      <c r="X83" t="s">
        <v>131</v>
      </c>
    </row>
    <row r="84" spans="1:24" x14ac:dyDescent="0.3">
      <c r="A84">
        <v>83</v>
      </c>
      <c r="B84" s="10">
        <v>45839</v>
      </c>
      <c r="C84" t="s">
        <v>453</v>
      </c>
      <c r="D84" t="s">
        <v>126</v>
      </c>
      <c r="E84" t="s">
        <v>26</v>
      </c>
      <c r="F84" t="s">
        <v>37</v>
      </c>
      <c r="G84" t="s">
        <v>28</v>
      </c>
      <c r="H84" s="11">
        <v>46227</v>
      </c>
      <c r="I84">
        <v>12452</v>
      </c>
      <c r="J84">
        <v>12452</v>
      </c>
      <c r="K84">
        <v>8277</v>
      </c>
      <c r="L84">
        <f t="shared" si="2"/>
        <v>20729</v>
      </c>
      <c r="M84" s="12">
        <f t="shared" si="3"/>
        <v>24460.22</v>
      </c>
      <c r="N84" s="13">
        <v>0.25</v>
      </c>
      <c r="O84" s="14" t="s">
        <v>454</v>
      </c>
      <c r="P84" t="s">
        <v>455</v>
      </c>
      <c r="Q84" t="s">
        <v>456</v>
      </c>
      <c r="T84" t="s">
        <v>457</v>
      </c>
      <c r="U84">
        <v>2393</v>
      </c>
      <c r="V84" t="s">
        <v>48</v>
      </c>
      <c r="W84" t="s">
        <v>34</v>
      </c>
      <c r="X84" t="s">
        <v>50</v>
      </c>
    </row>
    <row r="85" spans="1:24" x14ac:dyDescent="0.3">
      <c r="A85">
        <v>84</v>
      </c>
      <c r="B85" s="10">
        <v>45839</v>
      </c>
      <c r="C85" t="s">
        <v>458</v>
      </c>
      <c r="D85" t="s">
        <v>72</v>
      </c>
      <c r="E85" t="s">
        <v>26</v>
      </c>
      <c r="F85" t="s">
        <v>37</v>
      </c>
      <c r="G85" t="s">
        <v>28</v>
      </c>
      <c r="H85" s="11">
        <v>46228</v>
      </c>
      <c r="I85">
        <v>6328</v>
      </c>
      <c r="J85">
        <v>6328</v>
      </c>
      <c r="K85">
        <v>3841</v>
      </c>
      <c r="L85">
        <f t="shared" si="2"/>
        <v>10169</v>
      </c>
      <c r="M85" s="12">
        <f t="shared" si="3"/>
        <v>11999.42</v>
      </c>
      <c r="N85" s="13">
        <v>0.45</v>
      </c>
      <c r="O85" s="14" t="s">
        <v>459</v>
      </c>
      <c r="P85" t="s">
        <v>460</v>
      </c>
      <c r="Q85" t="s">
        <v>461</v>
      </c>
      <c r="T85" t="s">
        <v>462</v>
      </c>
      <c r="U85">
        <v>1462</v>
      </c>
      <c r="V85" t="s">
        <v>33</v>
      </c>
      <c r="W85" t="s">
        <v>34</v>
      </c>
      <c r="X85" t="s">
        <v>35</v>
      </c>
    </row>
    <row r="86" spans="1:24" x14ac:dyDescent="0.3">
      <c r="A86">
        <v>85</v>
      </c>
      <c r="B86" s="10">
        <v>45839</v>
      </c>
      <c r="C86" t="s">
        <v>463</v>
      </c>
      <c r="D86" t="s">
        <v>72</v>
      </c>
      <c r="E86" t="s">
        <v>26</v>
      </c>
      <c r="F86" t="s">
        <v>37</v>
      </c>
      <c r="G86" t="s">
        <v>28</v>
      </c>
      <c r="H86" s="11">
        <v>46247</v>
      </c>
      <c r="I86">
        <v>5894</v>
      </c>
      <c r="J86">
        <v>5894</v>
      </c>
      <c r="K86">
        <v>3791</v>
      </c>
      <c r="L86">
        <f t="shared" si="2"/>
        <v>9685</v>
      </c>
      <c r="M86" s="12">
        <f t="shared" si="3"/>
        <v>11428.3</v>
      </c>
      <c r="N86" s="13">
        <v>0.25</v>
      </c>
      <c r="O86" s="14" t="s">
        <v>464</v>
      </c>
      <c r="P86" t="s">
        <v>465</v>
      </c>
      <c r="Q86" t="s">
        <v>466</v>
      </c>
      <c r="T86" t="s">
        <v>467</v>
      </c>
      <c r="U86">
        <v>1197</v>
      </c>
      <c r="V86" t="s">
        <v>33</v>
      </c>
      <c r="W86" t="s">
        <v>34</v>
      </c>
      <c r="X86" t="s">
        <v>50</v>
      </c>
    </row>
    <row r="87" spans="1:24" x14ac:dyDescent="0.3">
      <c r="A87">
        <v>86</v>
      </c>
      <c r="B87" s="10">
        <v>45839</v>
      </c>
      <c r="C87" t="s">
        <v>468</v>
      </c>
      <c r="D87" t="s">
        <v>52</v>
      </c>
      <c r="E87" t="s">
        <v>26</v>
      </c>
      <c r="F87" t="s">
        <v>37</v>
      </c>
      <c r="G87" t="s">
        <v>53</v>
      </c>
      <c r="H87" s="11">
        <v>46228</v>
      </c>
      <c r="I87">
        <v>36712</v>
      </c>
      <c r="J87">
        <v>36712</v>
      </c>
      <c r="K87">
        <v>22182</v>
      </c>
      <c r="L87">
        <f t="shared" si="2"/>
        <v>58894</v>
      </c>
      <c r="M87" s="12">
        <f t="shared" si="3"/>
        <v>69494.92</v>
      </c>
      <c r="N87" s="13">
        <v>0</v>
      </c>
      <c r="O87" s="14" t="s">
        <v>469</v>
      </c>
      <c r="P87" t="s">
        <v>382</v>
      </c>
      <c r="Q87" t="s">
        <v>470</v>
      </c>
      <c r="T87" t="s">
        <v>57</v>
      </c>
      <c r="U87">
        <v>210</v>
      </c>
      <c r="V87" t="s">
        <v>87</v>
      </c>
      <c r="W87" t="s">
        <v>59</v>
      </c>
      <c r="X87" t="s">
        <v>471</v>
      </c>
    </row>
    <row r="88" spans="1:24" x14ac:dyDescent="0.3">
      <c r="A88">
        <v>87</v>
      </c>
      <c r="B88" s="10">
        <v>45839</v>
      </c>
      <c r="C88" t="s">
        <v>472</v>
      </c>
      <c r="D88" t="s">
        <v>126</v>
      </c>
      <c r="E88" t="s">
        <v>26</v>
      </c>
      <c r="F88" t="s">
        <v>37</v>
      </c>
      <c r="G88" t="s">
        <v>28</v>
      </c>
      <c r="H88" s="11">
        <v>46227</v>
      </c>
      <c r="I88">
        <v>9421</v>
      </c>
      <c r="J88">
        <v>9421</v>
      </c>
      <c r="K88">
        <v>3796</v>
      </c>
      <c r="L88">
        <f t="shared" si="2"/>
        <v>13217</v>
      </c>
      <c r="M88" s="12">
        <f t="shared" si="3"/>
        <v>15596.06</v>
      </c>
      <c r="N88" s="13">
        <v>0</v>
      </c>
      <c r="O88" s="14" t="s">
        <v>473</v>
      </c>
      <c r="P88" t="s">
        <v>474</v>
      </c>
      <c r="Q88" t="s">
        <v>475</v>
      </c>
      <c r="T88" t="s">
        <v>476</v>
      </c>
      <c r="U88">
        <v>1248</v>
      </c>
      <c r="V88" t="s">
        <v>48</v>
      </c>
      <c r="W88" t="s">
        <v>165</v>
      </c>
      <c r="X88" t="s">
        <v>131</v>
      </c>
    </row>
    <row r="89" spans="1:24" x14ac:dyDescent="0.3">
      <c r="A89">
        <v>88</v>
      </c>
      <c r="B89" s="10">
        <v>45839</v>
      </c>
      <c r="C89" t="s">
        <v>477</v>
      </c>
      <c r="D89" t="s">
        <v>72</v>
      </c>
      <c r="E89" t="s">
        <v>26</v>
      </c>
      <c r="F89" t="s">
        <v>27</v>
      </c>
      <c r="G89" t="s">
        <v>28</v>
      </c>
      <c r="H89" s="11">
        <v>46228</v>
      </c>
      <c r="I89">
        <v>5113</v>
      </c>
      <c r="J89">
        <v>5113</v>
      </c>
      <c r="K89">
        <v>0</v>
      </c>
      <c r="L89">
        <f t="shared" si="2"/>
        <v>5113</v>
      </c>
      <c r="M89" s="12">
        <f t="shared" si="3"/>
        <v>6033.34</v>
      </c>
      <c r="N89" s="13">
        <v>0.25</v>
      </c>
      <c r="O89" s="14" t="s">
        <v>478</v>
      </c>
      <c r="P89" t="s">
        <v>391</v>
      </c>
      <c r="Q89" t="s">
        <v>479</v>
      </c>
      <c r="T89" t="s">
        <v>480</v>
      </c>
      <c r="U89">
        <v>1199</v>
      </c>
      <c r="V89" t="s">
        <v>33</v>
      </c>
      <c r="W89" t="s">
        <v>327</v>
      </c>
      <c r="X89" t="s">
        <v>481</v>
      </c>
    </row>
    <row r="90" spans="1:24" x14ac:dyDescent="0.3">
      <c r="A90">
        <v>89</v>
      </c>
      <c r="B90" s="10">
        <v>45839</v>
      </c>
      <c r="C90" t="s">
        <v>482</v>
      </c>
      <c r="D90" t="s">
        <v>25</v>
      </c>
      <c r="E90" t="s">
        <v>26</v>
      </c>
      <c r="F90" t="s">
        <v>37</v>
      </c>
      <c r="G90" t="s">
        <v>28</v>
      </c>
      <c r="H90" s="11">
        <v>46231</v>
      </c>
      <c r="I90">
        <v>8268</v>
      </c>
      <c r="J90">
        <v>8268</v>
      </c>
      <c r="K90">
        <v>3841</v>
      </c>
      <c r="L90">
        <f t="shared" si="2"/>
        <v>12109</v>
      </c>
      <c r="M90" s="12">
        <f t="shared" si="3"/>
        <v>14288.619999999999</v>
      </c>
      <c r="N90" s="13">
        <v>0.25</v>
      </c>
      <c r="O90" s="14" t="s">
        <v>483</v>
      </c>
      <c r="P90" t="s">
        <v>484</v>
      </c>
      <c r="Q90" t="s">
        <v>485</v>
      </c>
      <c r="T90" t="s">
        <v>486</v>
      </c>
      <c r="U90">
        <v>1493</v>
      </c>
      <c r="V90" t="s">
        <v>48</v>
      </c>
      <c r="W90" t="s">
        <v>118</v>
      </c>
      <c r="X90" t="s">
        <v>131</v>
      </c>
    </row>
    <row r="91" spans="1:24" x14ac:dyDescent="0.3">
      <c r="A91">
        <v>90</v>
      </c>
      <c r="B91" s="10">
        <v>45839</v>
      </c>
      <c r="C91" t="s">
        <v>487</v>
      </c>
      <c r="D91" t="s">
        <v>52</v>
      </c>
      <c r="E91" t="s">
        <v>26</v>
      </c>
      <c r="F91" t="s">
        <v>37</v>
      </c>
      <c r="G91" t="s">
        <v>53</v>
      </c>
      <c r="H91" s="11">
        <v>46229</v>
      </c>
      <c r="I91">
        <v>18541</v>
      </c>
      <c r="J91">
        <v>18541</v>
      </c>
      <c r="K91">
        <v>7796</v>
      </c>
      <c r="L91">
        <f t="shared" si="2"/>
        <v>26337</v>
      </c>
      <c r="M91" s="12">
        <f t="shared" si="3"/>
        <v>31077.66</v>
      </c>
      <c r="N91" s="13">
        <v>0</v>
      </c>
      <c r="O91" s="14" t="s">
        <v>488</v>
      </c>
      <c r="P91" t="s">
        <v>489</v>
      </c>
      <c r="Q91" t="s">
        <v>490</v>
      </c>
      <c r="T91" t="s">
        <v>57</v>
      </c>
      <c r="U91">
        <v>998</v>
      </c>
      <c r="V91" t="s">
        <v>33</v>
      </c>
      <c r="W91" t="s">
        <v>57</v>
      </c>
      <c r="X91" t="s">
        <v>50</v>
      </c>
    </row>
    <row r="92" spans="1:24" x14ac:dyDescent="0.3">
      <c r="A92">
        <v>91</v>
      </c>
      <c r="B92" s="10">
        <v>45839</v>
      </c>
      <c r="C92" t="s">
        <v>491</v>
      </c>
      <c r="D92" t="s">
        <v>72</v>
      </c>
      <c r="E92" t="s">
        <v>26</v>
      </c>
      <c r="F92" t="s">
        <v>37</v>
      </c>
      <c r="G92" t="s">
        <v>28</v>
      </c>
      <c r="H92" s="11">
        <v>46229</v>
      </c>
      <c r="I92">
        <v>3538</v>
      </c>
      <c r="J92">
        <v>3538</v>
      </c>
      <c r="K92">
        <v>3841</v>
      </c>
      <c r="L92">
        <f t="shared" si="2"/>
        <v>7379</v>
      </c>
      <c r="M92" s="12">
        <f t="shared" si="3"/>
        <v>8707.2199999999993</v>
      </c>
      <c r="N92" s="13">
        <v>0</v>
      </c>
      <c r="O92" s="14" t="s">
        <v>492</v>
      </c>
      <c r="P92" t="s">
        <v>493</v>
      </c>
      <c r="Q92" t="s">
        <v>494</v>
      </c>
      <c r="T92" t="s">
        <v>495</v>
      </c>
      <c r="U92">
        <v>1197</v>
      </c>
      <c r="V92" t="s">
        <v>33</v>
      </c>
      <c r="W92" t="s">
        <v>496</v>
      </c>
      <c r="X92" t="s">
        <v>131</v>
      </c>
    </row>
    <row r="93" spans="1:24" x14ac:dyDescent="0.3">
      <c r="A93">
        <v>92</v>
      </c>
      <c r="B93" s="10">
        <v>45839</v>
      </c>
      <c r="C93" t="s">
        <v>497</v>
      </c>
      <c r="D93" t="s">
        <v>52</v>
      </c>
      <c r="E93" t="s">
        <v>26</v>
      </c>
      <c r="F93" t="s">
        <v>37</v>
      </c>
      <c r="G93" t="s">
        <v>53</v>
      </c>
      <c r="H93" s="11">
        <v>46229</v>
      </c>
      <c r="I93">
        <v>21231</v>
      </c>
      <c r="J93">
        <v>21231</v>
      </c>
      <c r="K93">
        <v>11117</v>
      </c>
      <c r="L93">
        <f t="shared" si="2"/>
        <v>32348</v>
      </c>
      <c r="M93" s="12">
        <f t="shared" si="3"/>
        <v>38170.639999999999</v>
      </c>
      <c r="N93" s="13">
        <v>0</v>
      </c>
      <c r="O93" s="14" t="s">
        <v>498</v>
      </c>
      <c r="P93" t="s">
        <v>499</v>
      </c>
      <c r="Q93" t="s">
        <v>500</v>
      </c>
      <c r="T93" t="s">
        <v>57</v>
      </c>
      <c r="U93">
        <v>1490</v>
      </c>
      <c r="V93" t="s">
        <v>33</v>
      </c>
      <c r="W93" t="s">
        <v>59</v>
      </c>
      <c r="X93" t="s">
        <v>50</v>
      </c>
    </row>
    <row r="94" spans="1:24" x14ac:dyDescent="0.3">
      <c r="A94">
        <v>93</v>
      </c>
      <c r="B94" s="10">
        <v>45839</v>
      </c>
      <c r="C94" t="s">
        <v>501</v>
      </c>
      <c r="D94" t="s">
        <v>52</v>
      </c>
      <c r="E94" t="s">
        <v>26</v>
      </c>
      <c r="F94" t="s">
        <v>27</v>
      </c>
      <c r="G94" t="s">
        <v>28</v>
      </c>
      <c r="H94" s="11">
        <v>46229</v>
      </c>
      <c r="I94">
        <v>11359</v>
      </c>
      <c r="J94">
        <v>11359</v>
      </c>
      <c r="K94">
        <v>0</v>
      </c>
      <c r="L94">
        <f t="shared" si="2"/>
        <v>11359</v>
      </c>
      <c r="M94" s="12">
        <f t="shared" si="3"/>
        <v>13403.619999999999</v>
      </c>
      <c r="N94" s="13">
        <v>0.25</v>
      </c>
      <c r="O94" s="14" t="s">
        <v>502</v>
      </c>
      <c r="P94" t="s">
        <v>503</v>
      </c>
      <c r="Q94" t="s">
        <v>504</v>
      </c>
      <c r="T94" t="s">
        <v>505</v>
      </c>
      <c r="U94">
        <v>1462</v>
      </c>
      <c r="V94" t="s">
        <v>33</v>
      </c>
      <c r="W94" t="s">
        <v>506</v>
      </c>
      <c r="X94" t="s">
        <v>131</v>
      </c>
    </row>
    <row r="95" spans="1:24" x14ac:dyDescent="0.3">
      <c r="A95">
        <v>94</v>
      </c>
      <c r="B95" s="10">
        <v>45839</v>
      </c>
      <c r="C95" t="s">
        <v>507</v>
      </c>
      <c r="D95" t="s">
        <v>302</v>
      </c>
      <c r="E95" t="s">
        <v>297</v>
      </c>
      <c r="F95" t="s">
        <v>298</v>
      </c>
      <c r="G95" t="s">
        <v>53</v>
      </c>
      <c r="H95" s="11">
        <v>46228</v>
      </c>
      <c r="I95">
        <v>18699</v>
      </c>
      <c r="J95">
        <v>18699</v>
      </c>
      <c r="K95">
        <v>0</v>
      </c>
      <c r="L95">
        <f t="shared" si="2"/>
        <v>18699</v>
      </c>
      <c r="M95" s="12">
        <f t="shared" si="3"/>
        <v>22064.82</v>
      </c>
      <c r="N95" s="13">
        <v>0</v>
      </c>
      <c r="O95" s="14" t="s">
        <v>508</v>
      </c>
      <c r="P95" t="s">
        <v>300</v>
      </c>
      <c r="Q95" t="s">
        <v>300</v>
      </c>
      <c r="T95" t="s">
        <v>300</v>
      </c>
      <c r="U95" s="16" t="s">
        <v>300</v>
      </c>
      <c r="V95" t="s">
        <v>300</v>
      </c>
      <c r="W95" t="s">
        <v>300</v>
      </c>
      <c r="X95" t="s">
        <v>471</v>
      </c>
    </row>
    <row r="96" spans="1:24" x14ac:dyDescent="0.3">
      <c r="A96">
        <v>95</v>
      </c>
      <c r="B96" s="10">
        <v>45839</v>
      </c>
      <c r="C96" t="s">
        <v>509</v>
      </c>
      <c r="D96" t="s">
        <v>72</v>
      </c>
      <c r="E96" t="s">
        <v>26</v>
      </c>
      <c r="F96" t="s">
        <v>37</v>
      </c>
      <c r="G96" t="s">
        <v>28</v>
      </c>
      <c r="H96" s="11">
        <v>46232</v>
      </c>
      <c r="I96">
        <v>10338</v>
      </c>
      <c r="J96">
        <v>10338</v>
      </c>
      <c r="K96">
        <v>8322</v>
      </c>
      <c r="L96">
        <f t="shared" si="2"/>
        <v>18660</v>
      </c>
      <c r="M96" s="12">
        <f t="shared" si="3"/>
        <v>22018.799999999999</v>
      </c>
      <c r="N96" s="13">
        <v>0.25</v>
      </c>
      <c r="O96" s="14" t="s">
        <v>510</v>
      </c>
      <c r="P96" t="s">
        <v>511</v>
      </c>
      <c r="Q96" t="s">
        <v>512</v>
      </c>
      <c r="T96" t="s">
        <v>513</v>
      </c>
      <c r="U96">
        <v>2184</v>
      </c>
      <c r="V96" t="s">
        <v>48</v>
      </c>
      <c r="W96" t="s">
        <v>506</v>
      </c>
      <c r="X96" t="s">
        <v>50</v>
      </c>
    </row>
    <row r="97" spans="1:24" x14ac:dyDescent="0.3">
      <c r="A97">
        <v>96</v>
      </c>
      <c r="B97" s="10">
        <v>45839</v>
      </c>
      <c r="C97" t="s">
        <v>514</v>
      </c>
      <c r="D97" t="s">
        <v>72</v>
      </c>
      <c r="E97" t="s">
        <v>26</v>
      </c>
      <c r="F97" t="s">
        <v>37</v>
      </c>
      <c r="G97" t="s">
        <v>28</v>
      </c>
      <c r="H97" s="11">
        <v>46230</v>
      </c>
      <c r="I97">
        <v>1001</v>
      </c>
      <c r="J97">
        <v>1001</v>
      </c>
      <c r="K97">
        <v>2469</v>
      </c>
      <c r="L97">
        <f t="shared" si="2"/>
        <v>3470</v>
      </c>
      <c r="M97" s="12">
        <f t="shared" si="3"/>
        <v>4094.6</v>
      </c>
      <c r="N97" s="13">
        <v>0.25</v>
      </c>
      <c r="O97" s="14" t="s">
        <v>515</v>
      </c>
      <c r="P97" t="s">
        <v>154</v>
      </c>
      <c r="Q97" t="s">
        <v>516</v>
      </c>
      <c r="T97" t="s">
        <v>517</v>
      </c>
      <c r="U97">
        <v>998</v>
      </c>
      <c r="V97" t="s">
        <v>65</v>
      </c>
      <c r="W97" t="s">
        <v>165</v>
      </c>
      <c r="X97" t="s">
        <v>76</v>
      </c>
    </row>
    <row r="98" spans="1:24" x14ac:dyDescent="0.3">
      <c r="A98">
        <v>97</v>
      </c>
      <c r="B98" s="10">
        <v>45839</v>
      </c>
      <c r="C98" t="s">
        <v>518</v>
      </c>
      <c r="D98" t="s">
        <v>72</v>
      </c>
      <c r="E98" t="s">
        <v>26</v>
      </c>
      <c r="F98" t="s">
        <v>27</v>
      </c>
      <c r="G98" t="s">
        <v>28</v>
      </c>
      <c r="H98" s="11">
        <v>46234</v>
      </c>
      <c r="I98">
        <v>63976</v>
      </c>
      <c r="J98">
        <v>63976</v>
      </c>
      <c r="K98">
        <v>0</v>
      </c>
      <c r="L98">
        <f t="shared" si="2"/>
        <v>63976</v>
      </c>
      <c r="M98" s="12">
        <f t="shared" si="3"/>
        <v>75491.679999999993</v>
      </c>
      <c r="N98" s="13">
        <v>0.2</v>
      </c>
      <c r="O98" s="14" t="s">
        <v>519</v>
      </c>
      <c r="P98" t="s">
        <v>428</v>
      </c>
      <c r="Q98" t="s">
        <v>520</v>
      </c>
      <c r="T98" t="s">
        <v>521</v>
      </c>
      <c r="U98">
        <v>1997</v>
      </c>
      <c r="V98" t="s">
        <v>48</v>
      </c>
      <c r="W98" t="s">
        <v>34</v>
      </c>
      <c r="X98" t="s">
        <v>50</v>
      </c>
    </row>
    <row r="99" spans="1:24" x14ac:dyDescent="0.3">
      <c r="A99">
        <v>98</v>
      </c>
      <c r="B99" s="10">
        <v>45839</v>
      </c>
      <c r="C99" t="s">
        <v>522</v>
      </c>
      <c r="D99" t="s">
        <v>25</v>
      </c>
      <c r="E99" t="s">
        <v>26</v>
      </c>
      <c r="F99" t="s">
        <v>37</v>
      </c>
      <c r="G99" t="s">
        <v>28</v>
      </c>
      <c r="H99" s="11">
        <v>46230</v>
      </c>
      <c r="I99">
        <v>19150</v>
      </c>
      <c r="J99">
        <v>19150</v>
      </c>
      <c r="K99">
        <v>8297</v>
      </c>
      <c r="L99">
        <f t="shared" si="2"/>
        <v>27447</v>
      </c>
      <c r="M99" s="12">
        <f t="shared" si="3"/>
        <v>32387.46</v>
      </c>
      <c r="N99" s="13">
        <v>0.5</v>
      </c>
      <c r="O99" s="14" t="s">
        <v>523</v>
      </c>
      <c r="P99" t="s">
        <v>334</v>
      </c>
      <c r="Q99" t="s">
        <v>524</v>
      </c>
      <c r="T99" t="s">
        <v>525</v>
      </c>
      <c r="U99">
        <v>2755</v>
      </c>
      <c r="V99" t="s">
        <v>48</v>
      </c>
      <c r="W99" t="s">
        <v>321</v>
      </c>
      <c r="X99" t="s">
        <v>35</v>
      </c>
    </row>
    <row r="100" spans="1:24" x14ac:dyDescent="0.3">
      <c r="A100">
        <v>99</v>
      </c>
      <c r="B100" s="10">
        <v>45839</v>
      </c>
      <c r="C100" t="s">
        <v>526</v>
      </c>
      <c r="D100" t="s">
        <v>52</v>
      </c>
      <c r="E100" t="s">
        <v>26</v>
      </c>
      <c r="F100" t="s">
        <v>37</v>
      </c>
      <c r="G100" t="s">
        <v>28</v>
      </c>
      <c r="H100" s="11">
        <v>46232</v>
      </c>
      <c r="I100">
        <v>162848</v>
      </c>
      <c r="J100">
        <v>162848</v>
      </c>
      <c r="K100">
        <v>8447</v>
      </c>
      <c r="L100">
        <f t="shared" si="2"/>
        <v>171295</v>
      </c>
      <c r="M100" s="12">
        <f t="shared" si="3"/>
        <v>202128.1</v>
      </c>
      <c r="N100" s="13">
        <v>0</v>
      </c>
      <c r="O100" s="14" t="s">
        <v>527</v>
      </c>
      <c r="P100" t="s">
        <v>528</v>
      </c>
      <c r="Q100" t="s">
        <v>529</v>
      </c>
      <c r="T100" t="s">
        <v>530</v>
      </c>
      <c r="U100">
        <v>1984</v>
      </c>
      <c r="V100" t="s">
        <v>65</v>
      </c>
      <c r="W100" t="s">
        <v>118</v>
      </c>
      <c r="X100" t="s">
        <v>471</v>
      </c>
    </row>
    <row r="101" spans="1:24" x14ac:dyDescent="0.3">
      <c r="A101">
        <v>100</v>
      </c>
      <c r="B101" s="10">
        <v>45839</v>
      </c>
      <c r="C101" t="s">
        <v>531</v>
      </c>
      <c r="D101" t="s">
        <v>133</v>
      </c>
      <c r="E101" t="s">
        <v>26</v>
      </c>
      <c r="F101" t="s">
        <v>532</v>
      </c>
      <c r="G101" t="s">
        <v>28</v>
      </c>
      <c r="H101" s="11">
        <v>46232</v>
      </c>
      <c r="I101">
        <v>13981</v>
      </c>
      <c r="J101">
        <v>13981</v>
      </c>
      <c r="K101">
        <v>0</v>
      </c>
      <c r="L101">
        <f t="shared" si="2"/>
        <v>13981</v>
      </c>
      <c r="M101" s="12">
        <f t="shared" si="3"/>
        <v>16497.580000000002</v>
      </c>
      <c r="N101" s="13">
        <v>0.45</v>
      </c>
      <c r="O101" s="14" t="s">
        <v>533</v>
      </c>
      <c r="P101" t="s">
        <v>534</v>
      </c>
      <c r="Q101" t="s">
        <v>535</v>
      </c>
      <c r="T101" t="s">
        <v>536</v>
      </c>
      <c r="U101">
        <v>888</v>
      </c>
      <c r="V101" t="s">
        <v>65</v>
      </c>
      <c r="W101" t="s">
        <v>118</v>
      </c>
      <c r="X101" t="s">
        <v>537</v>
      </c>
    </row>
    <row r="102" spans="1:24" x14ac:dyDescent="0.3">
      <c r="A102">
        <v>101</v>
      </c>
      <c r="B102" s="10">
        <v>45839</v>
      </c>
      <c r="C102" t="s">
        <v>538</v>
      </c>
      <c r="D102" t="s">
        <v>133</v>
      </c>
      <c r="E102" t="s">
        <v>26</v>
      </c>
      <c r="F102" t="s">
        <v>37</v>
      </c>
      <c r="G102" t="s">
        <v>28</v>
      </c>
      <c r="H102" s="11">
        <v>46229</v>
      </c>
      <c r="I102">
        <v>1906</v>
      </c>
      <c r="J102">
        <v>1906</v>
      </c>
      <c r="K102">
        <v>2664</v>
      </c>
      <c r="L102">
        <f t="shared" si="2"/>
        <v>4570</v>
      </c>
      <c r="M102" s="12">
        <f t="shared" si="3"/>
        <v>5392.6</v>
      </c>
      <c r="N102" s="13">
        <v>0</v>
      </c>
      <c r="O102" s="14" t="s">
        <v>539</v>
      </c>
      <c r="P102" t="s">
        <v>154</v>
      </c>
      <c r="Q102" t="s">
        <v>540</v>
      </c>
      <c r="T102" t="s">
        <v>541</v>
      </c>
      <c r="U102">
        <v>796</v>
      </c>
      <c r="V102" t="s">
        <v>65</v>
      </c>
      <c r="W102" t="s">
        <v>413</v>
      </c>
      <c r="X102" t="s">
        <v>35</v>
      </c>
    </row>
    <row r="103" spans="1:24" x14ac:dyDescent="0.3">
      <c r="A103">
        <v>102</v>
      </c>
      <c r="B103" s="10">
        <v>45839</v>
      </c>
      <c r="C103" t="s">
        <v>542</v>
      </c>
      <c r="D103" t="s">
        <v>72</v>
      </c>
      <c r="E103" t="s">
        <v>26</v>
      </c>
      <c r="F103" t="s">
        <v>37</v>
      </c>
      <c r="G103" t="s">
        <v>28</v>
      </c>
      <c r="H103" s="11">
        <v>46232</v>
      </c>
      <c r="I103">
        <v>39848</v>
      </c>
      <c r="J103">
        <v>39848</v>
      </c>
      <c r="K103">
        <v>8322</v>
      </c>
      <c r="L103">
        <f t="shared" si="2"/>
        <v>48170</v>
      </c>
      <c r="M103" s="12">
        <f t="shared" si="3"/>
        <v>56840.6</v>
      </c>
      <c r="N103" s="13">
        <v>0.5</v>
      </c>
      <c r="O103" s="14" t="s">
        <v>543</v>
      </c>
      <c r="P103" t="s">
        <v>544</v>
      </c>
      <c r="Q103" t="s">
        <v>545</v>
      </c>
      <c r="T103" t="s">
        <v>546</v>
      </c>
      <c r="U103">
        <v>1997</v>
      </c>
      <c r="V103" t="s">
        <v>65</v>
      </c>
      <c r="W103" t="s">
        <v>118</v>
      </c>
      <c r="X103" t="s">
        <v>50</v>
      </c>
    </row>
    <row r="104" spans="1:24" x14ac:dyDescent="0.3">
      <c r="A104">
        <v>103</v>
      </c>
      <c r="B104" s="10">
        <v>45839</v>
      </c>
      <c r="C104" t="s">
        <v>547</v>
      </c>
      <c r="D104" t="s">
        <v>72</v>
      </c>
      <c r="E104" t="s">
        <v>26</v>
      </c>
      <c r="F104" t="s">
        <v>37</v>
      </c>
      <c r="G104" t="s">
        <v>28</v>
      </c>
      <c r="H104" s="11">
        <v>46231</v>
      </c>
      <c r="I104">
        <v>11061</v>
      </c>
      <c r="J104">
        <v>11061</v>
      </c>
      <c r="K104">
        <v>3841</v>
      </c>
      <c r="L104">
        <f t="shared" si="2"/>
        <v>14902</v>
      </c>
      <c r="M104" s="12">
        <f t="shared" si="3"/>
        <v>17584.36</v>
      </c>
      <c r="N104" s="13">
        <v>0.35</v>
      </c>
      <c r="O104" s="14" t="s">
        <v>548</v>
      </c>
      <c r="P104" t="s">
        <v>549</v>
      </c>
      <c r="Q104" t="s">
        <v>550</v>
      </c>
      <c r="T104" t="s">
        <v>551</v>
      </c>
      <c r="U104">
        <v>1451</v>
      </c>
      <c r="V104" t="s">
        <v>65</v>
      </c>
      <c r="W104" t="s">
        <v>145</v>
      </c>
      <c r="X104" t="s">
        <v>50</v>
      </c>
    </row>
    <row r="105" spans="1:24" x14ac:dyDescent="0.3">
      <c r="A105">
        <v>104</v>
      </c>
      <c r="B105" s="10">
        <v>45839</v>
      </c>
      <c r="C105" t="s">
        <v>552</v>
      </c>
      <c r="D105" t="s">
        <v>25</v>
      </c>
      <c r="E105" t="s">
        <v>26</v>
      </c>
      <c r="F105" t="s">
        <v>27</v>
      </c>
      <c r="G105" t="s">
        <v>28</v>
      </c>
      <c r="H105" s="11">
        <v>46265</v>
      </c>
      <c r="I105">
        <v>191969</v>
      </c>
      <c r="J105">
        <v>191969</v>
      </c>
      <c r="K105">
        <v>0</v>
      </c>
      <c r="L105">
        <f t="shared" si="2"/>
        <v>191969</v>
      </c>
      <c r="M105" s="12">
        <f t="shared" si="3"/>
        <v>226523.41999999998</v>
      </c>
      <c r="N105" s="13">
        <v>0.25</v>
      </c>
      <c r="O105" s="14" t="s">
        <v>553</v>
      </c>
      <c r="P105" t="s">
        <v>270</v>
      </c>
      <c r="Q105" t="s">
        <v>554</v>
      </c>
      <c r="T105" t="s">
        <v>555</v>
      </c>
      <c r="U105">
        <v>2993</v>
      </c>
      <c r="V105" t="s">
        <v>48</v>
      </c>
      <c r="W105" t="s">
        <v>34</v>
      </c>
      <c r="X105" t="s">
        <v>76</v>
      </c>
    </row>
    <row r="106" spans="1:24" x14ac:dyDescent="0.3">
      <c r="A106">
        <v>105</v>
      </c>
      <c r="B106" s="10">
        <v>45839</v>
      </c>
      <c r="C106" t="s">
        <v>556</v>
      </c>
      <c r="D106" t="s">
        <v>72</v>
      </c>
      <c r="E106" t="s">
        <v>26</v>
      </c>
      <c r="F106" t="s">
        <v>27</v>
      </c>
      <c r="G106" t="s">
        <v>28</v>
      </c>
      <c r="H106" s="11">
        <v>46233</v>
      </c>
      <c r="I106">
        <v>22185</v>
      </c>
      <c r="J106">
        <v>22185</v>
      </c>
      <c r="K106">
        <v>0</v>
      </c>
      <c r="L106">
        <f t="shared" si="2"/>
        <v>22185</v>
      </c>
      <c r="M106" s="12">
        <f t="shared" si="3"/>
        <v>26178.3</v>
      </c>
      <c r="N106" s="13">
        <v>0</v>
      </c>
      <c r="O106" s="14" t="s">
        <v>557</v>
      </c>
      <c r="P106" t="s">
        <v>558</v>
      </c>
      <c r="Q106" t="s">
        <v>559</v>
      </c>
      <c r="T106" t="s">
        <v>560</v>
      </c>
      <c r="U106">
        <v>1482</v>
      </c>
      <c r="V106" t="s">
        <v>33</v>
      </c>
      <c r="W106" t="s">
        <v>49</v>
      </c>
      <c r="X106" t="s">
        <v>35</v>
      </c>
    </row>
    <row r="107" spans="1:24" x14ac:dyDescent="0.3">
      <c r="A107">
        <v>106</v>
      </c>
      <c r="B107" s="10">
        <v>45839</v>
      </c>
      <c r="C107" t="s">
        <v>561</v>
      </c>
      <c r="D107" t="s">
        <v>52</v>
      </c>
      <c r="E107" t="s">
        <v>26</v>
      </c>
      <c r="F107" t="s">
        <v>37</v>
      </c>
      <c r="G107" t="s">
        <v>28</v>
      </c>
      <c r="H107" s="11">
        <v>46233</v>
      </c>
      <c r="I107">
        <v>1970</v>
      </c>
      <c r="J107">
        <v>1970</v>
      </c>
      <c r="K107">
        <v>8322</v>
      </c>
      <c r="L107">
        <f t="shared" si="2"/>
        <v>10292</v>
      </c>
      <c r="M107" s="12">
        <f t="shared" si="3"/>
        <v>12144.56</v>
      </c>
      <c r="N107" s="13">
        <v>0.5</v>
      </c>
      <c r="O107" s="14" t="s">
        <v>562</v>
      </c>
      <c r="P107" t="s">
        <v>563</v>
      </c>
      <c r="Q107" t="s">
        <v>564</v>
      </c>
      <c r="T107" t="s">
        <v>565</v>
      </c>
      <c r="U107">
        <v>2755</v>
      </c>
      <c r="V107" t="s">
        <v>48</v>
      </c>
      <c r="W107" t="s">
        <v>34</v>
      </c>
      <c r="X107" t="s">
        <v>243</v>
      </c>
    </row>
    <row r="108" spans="1:24" x14ac:dyDescent="0.3">
      <c r="A108">
        <v>107</v>
      </c>
      <c r="B108" s="10">
        <v>45839</v>
      </c>
      <c r="C108" t="s">
        <v>566</v>
      </c>
      <c r="D108" t="s">
        <v>72</v>
      </c>
      <c r="E108" t="s">
        <v>26</v>
      </c>
      <c r="F108" t="s">
        <v>37</v>
      </c>
      <c r="G108" t="s">
        <v>140</v>
      </c>
      <c r="H108" s="11">
        <v>46232</v>
      </c>
      <c r="I108">
        <v>911</v>
      </c>
      <c r="J108">
        <v>911</v>
      </c>
      <c r="K108">
        <v>3841</v>
      </c>
      <c r="L108">
        <f t="shared" si="2"/>
        <v>4752</v>
      </c>
      <c r="M108" s="12">
        <f t="shared" si="3"/>
        <v>5607.36</v>
      </c>
      <c r="N108" s="13">
        <v>0</v>
      </c>
      <c r="O108" s="14" t="s">
        <v>567</v>
      </c>
      <c r="P108" t="s">
        <v>568</v>
      </c>
      <c r="Q108" t="s">
        <v>569</v>
      </c>
      <c r="T108" t="s">
        <v>570</v>
      </c>
      <c r="U108">
        <v>1197</v>
      </c>
      <c r="V108" t="s">
        <v>33</v>
      </c>
      <c r="W108" t="s">
        <v>571</v>
      </c>
      <c r="X108" t="s">
        <v>131</v>
      </c>
    </row>
    <row r="109" spans="1:24" x14ac:dyDescent="0.3">
      <c r="A109">
        <v>108</v>
      </c>
      <c r="B109" s="10">
        <v>45839</v>
      </c>
      <c r="C109" t="s">
        <v>572</v>
      </c>
      <c r="D109" t="s">
        <v>126</v>
      </c>
      <c r="E109" t="s">
        <v>26</v>
      </c>
      <c r="F109" t="s">
        <v>37</v>
      </c>
      <c r="G109" t="s">
        <v>28</v>
      </c>
      <c r="H109" s="11">
        <v>46235</v>
      </c>
      <c r="I109">
        <v>41737</v>
      </c>
      <c r="J109">
        <v>41737</v>
      </c>
      <c r="K109">
        <v>8277</v>
      </c>
      <c r="L109">
        <f t="shared" si="2"/>
        <v>50014</v>
      </c>
      <c r="M109" s="12">
        <f t="shared" si="3"/>
        <v>59016.520000000004</v>
      </c>
      <c r="N109" s="13">
        <v>0.35</v>
      </c>
      <c r="O109" s="14" t="s">
        <v>573</v>
      </c>
      <c r="P109" t="s">
        <v>574</v>
      </c>
      <c r="Q109" t="s">
        <v>575</v>
      </c>
      <c r="T109" t="s">
        <v>576</v>
      </c>
      <c r="U109">
        <v>2755</v>
      </c>
      <c r="V109" t="s">
        <v>48</v>
      </c>
      <c r="W109" t="s">
        <v>34</v>
      </c>
      <c r="X109" t="s">
        <v>35</v>
      </c>
    </row>
    <row r="110" spans="1:24" x14ac:dyDescent="0.3">
      <c r="A110">
        <v>109</v>
      </c>
      <c r="B110" s="10">
        <v>45839</v>
      </c>
      <c r="C110" t="s">
        <v>132</v>
      </c>
      <c r="D110" t="s">
        <v>133</v>
      </c>
      <c r="E110" t="s">
        <v>26</v>
      </c>
      <c r="F110" t="s">
        <v>134</v>
      </c>
      <c r="G110" t="s">
        <v>53</v>
      </c>
      <c r="H110" s="11">
        <v>46232</v>
      </c>
      <c r="I110">
        <v>31608</v>
      </c>
      <c r="J110">
        <v>11076</v>
      </c>
      <c r="K110">
        <v>20532</v>
      </c>
      <c r="L110">
        <f t="shared" si="2"/>
        <v>31608</v>
      </c>
      <c r="M110" s="12">
        <f t="shared" si="3"/>
        <v>37297.440000000002</v>
      </c>
      <c r="N110" s="13">
        <v>0</v>
      </c>
      <c r="O110" s="14" t="s">
        <v>577</v>
      </c>
      <c r="P110" t="s">
        <v>578</v>
      </c>
      <c r="Q110" t="s">
        <v>579</v>
      </c>
      <c r="T110" t="s">
        <v>57</v>
      </c>
      <c r="U110">
        <v>2494</v>
      </c>
      <c r="V110" t="s">
        <v>48</v>
      </c>
      <c r="W110" t="s">
        <v>59</v>
      </c>
      <c r="X110" t="s">
        <v>35</v>
      </c>
    </row>
    <row r="111" spans="1:24" x14ac:dyDescent="0.3">
      <c r="A111">
        <v>110</v>
      </c>
      <c r="B111" s="10">
        <v>45839</v>
      </c>
      <c r="C111" t="s">
        <v>119</v>
      </c>
      <c r="D111" t="s">
        <v>52</v>
      </c>
      <c r="E111" t="s">
        <v>26</v>
      </c>
      <c r="F111" t="s">
        <v>120</v>
      </c>
      <c r="G111" t="s">
        <v>28</v>
      </c>
      <c r="H111" s="11">
        <v>46232</v>
      </c>
      <c r="I111">
        <v>37809</v>
      </c>
      <c r="J111">
        <v>614</v>
      </c>
      <c r="K111">
        <v>37195</v>
      </c>
      <c r="L111">
        <f t="shared" si="2"/>
        <v>37809</v>
      </c>
      <c r="M111" s="12">
        <f t="shared" si="3"/>
        <v>44614.62</v>
      </c>
      <c r="N111" s="13">
        <v>0.45</v>
      </c>
      <c r="O111" s="14" t="s">
        <v>580</v>
      </c>
      <c r="P111" t="s">
        <v>581</v>
      </c>
      <c r="Q111" t="s">
        <v>582</v>
      </c>
      <c r="T111" t="s">
        <v>583</v>
      </c>
      <c r="U111">
        <v>3956</v>
      </c>
      <c r="V111" t="s">
        <v>48</v>
      </c>
      <c r="W111" t="s">
        <v>242</v>
      </c>
      <c r="X111" t="s">
        <v>124</v>
      </c>
    </row>
    <row r="112" spans="1:24" x14ac:dyDescent="0.3">
      <c r="A112">
        <v>111</v>
      </c>
      <c r="B112" s="10">
        <v>45839</v>
      </c>
      <c r="C112" t="s">
        <v>119</v>
      </c>
      <c r="D112" t="s">
        <v>52</v>
      </c>
      <c r="E112" t="s">
        <v>26</v>
      </c>
      <c r="F112" t="s">
        <v>120</v>
      </c>
      <c r="G112" t="s">
        <v>53</v>
      </c>
      <c r="H112" s="11">
        <v>46232</v>
      </c>
      <c r="I112">
        <v>53086</v>
      </c>
      <c r="J112">
        <v>3563</v>
      </c>
      <c r="K112">
        <v>49523</v>
      </c>
      <c r="L112">
        <f t="shared" si="2"/>
        <v>53086</v>
      </c>
      <c r="M112" s="12">
        <f t="shared" si="3"/>
        <v>62641.479999999996</v>
      </c>
      <c r="N112" s="13">
        <v>0</v>
      </c>
      <c r="O112" s="14" t="s">
        <v>584</v>
      </c>
      <c r="P112" t="s">
        <v>585</v>
      </c>
      <c r="Q112" t="s">
        <v>586</v>
      </c>
      <c r="T112" t="s">
        <v>57</v>
      </c>
      <c r="U112">
        <v>3770</v>
      </c>
      <c r="V112" t="s">
        <v>48</v>
      </c>
      <c r="W112" t="s">
        <v>59</v>
      </c>
      <c r="X112" t="s">
        <v>124</v>
      </c>
    </row>
    <row r="113" spans="1:24" x14ac:dyDescent="0.3">
      <c r="A113">
        <v>112</v>
      </c>
      <c r="B113" s="10">
        <v>45839</v>
      </c>
      <c r="C113" t="s">
        <v>587</v>
      </c>
      <c r="D113" t="s">
        <v>302</v>
      </c>
      <c r="E113" t="s">
        <v>297</v>
      </c>
      <c r="F113" t="s">
        <v>298</v>
      </c>
      <c r="G113" t="s">
        <v>53</v>
      </c>
      <c r="H113" s="11">
        <v>46231</v>
      </c>
      <c r="I113">
        <v>20356</v>
      </c>
      <c r="J113">
        <v>20356</v>
      </c>
      <c r="K113">
        <v>0</v>
      </c>
      <c r="L113">
        <f t="shared" si="2"/>
        <v>20356</v>
      </c>
      <c r="M113" s="12">
        <f t="shared" si="3"/>
        <v>24020.080000000002</v>
      </c>
      <c r="N113" s="13">
        <v>0</v>
      </c>
      <c r="O113" s="14" t="s">
        <v>588</v>
      </c>
      <c r="P113" t="s">
        <v>300</v>
      </c>
      <c r="Q113" t="s">
        <v>300</v>
      </c>
      <c r="T113" t="s">
        <v>300</v>
      </c>
      <c r="U113" t="s">
        <v>300</v>
      </c>
      <c r="V113" t="s">
        <v>300</v>
      </c>
      <c r="W113" t="s">
        <v>300</v>
      </c>
      <c r="X113" t="s">
        <v>35</v>
      </c>
    </row>
    <row r="114" spans="1:24" x14ac:dyDescent="0.3">
      <c r="A114">
        <v>113</v>
      </c>
      <c r="B114" s="10">
        <v>45839</v>
      </c>
      <c r="C114" t="s">
        <v>589</v>
      </c>
      <c r="D114" t="s">
        <v>52</v>
      </c>
      <c r="E114" t="s">
        <v>297</v>
      </c>
      <c r="F114" t="s">
        <v>298</v>
      </c>
      <c r="G114" t="s">
        <v>53</v>
      </c>
      <c r="H114" s="11">
        <v>46231</v>
      </c>
      <c r="I114">
        <v>12860</v>
      </c>
      <c r="J114">
        <v>12860</v>
      </c>
      <c r="K114">
        <v>0</v>
      </c>
      <c r="L114">
        <f t="shared" si="2"/>
        <v>12860</v>
      </c>
      <c r="M114" s="12">
        <f t="shared" si="3"/>
        <v>15174.8</v>
      </c>
      <c r="N114" s="13">
        <v>0</v>
      </c>
      <c r="O114" s="14" t="s">
        <v>590</v>
      </c>
      <c r="P114" t="s">
        <v>300</v>
      </c>
      <c r="Q114" t="s">
        <v>300</v>
      </c>
      <c r="T114" t="s">
        <v>300</v>
      </c>
      <c r="U114" t="s">
        <v>300</v>
      </c>
      <c r="V114" t="s">
        <v>300</v>
      </c>
      <c r="W114" t="s">
        <v>300</v>
      </c>
      <c r="X114" t="s">
        <v>76</v>
      </c>
    </row>
    <row r="115" spans="1:24" x14ac:dyDescent="0.3">
      <c r="A115">
        <v>114</v>
      </c>
      <c r="B115" s="10">
        <v>45839</v>
      </c>
      <c r="C115" t="s">
        <v>591</v>
      </c>
      <c r="D115" t="s">
        <v>52</v>
      </c>
      <c r="E115" t="s">
        <v>297</v>
      </c>
      <c r="F115" t="s">
        <v>298</v>
      </c>
      <c r="G115" t="s">
        <v>53</v>
      </c>
      <c r="H115" s="11">
        <v>46231</v>
      </c>
      <c r="I115">
        <v>15815</v>
      </c>
      <c r="J115">
        <v>15815</v>
      </c>
      <c r="K115">
        <v>0</v>
      </c>
      <c r="L115">
        <f t="shared" si="2"/>
        <v>15815</v>
      </c>
      <c r="M115" s="12">
        <f t="shared" si="3"/>
        <v>18661.7</v>
      </c>
      <c r="N115" s="13">
        <v>0</v>
      </c>
      <c r="O115" s="14" t="s">
        <v>592</v>
      </c>
      <c r="P115" t="s">
        <v>300</v>
      </c>
      <c r="Q115" t="s">
        <v>300</v>
      </c>
      <c r="T115" t="s">
        <v>300</v>
      </c>
      <c r="U115" t="s">
        <v>300</v>
      </c>
      <c r="V115" t="s">
        <v>300</v>
      </c>
      <c r="W115" t="s">
        <v>300</v>
      </c>
      <c r="X115" t="s">
        <v>76</v>
      </c>
    </row>
    <row r="116" spans="1:24" x14ac:dyDescent="0.3">
      <c r="A116">
        <v>115</v>
      </c>
      <c r="B116" s="10">
        <v>45839</v>
      </c>
      <c r="C116" t="s">
        <v>593</v>
      </c>
      <c r="D116" t="s">
        <v>133</v>
      </c>
      <c r="E116" t="s">
        <v>26</v>
      </c>
      <c r="F116" t="s">
        <v>298</v>
      </c>
      <c r="G116" t="s">
        <v>53</v>
      </c>
      <c r="H116" s="11">
        <v>46233</v>
      </c>
      <c r="I116">
        <f>J116+3344</f>
        <v>35210</v>
      </c>
      <c r="J116">
        <v>31866</v>
      </c>
      <c r="K116">
        <v>16724</v>
      </c>
      <c r="L116">
        <f t="shared" si="2"/>
        <v>48590</v>
      </c>
      <c r="M116" s="12">
        <f t="shared" si="3"/>
        <v>57336.2</v>
      </c>
      <c r="N116" s="13">
        <v>0</v>
      </c>
      <c r="O116" s="14" t="s">
        <v>594</v>
      </c>
      <c r="P116" t="s">
        <v>534</v>
      </c>
      <c r="Q116" t="s">
        <v>595</v>
      </c>
      <c r="T116" t="s">
        <v>57</v>
      </c>
      <c r="U116">
        <v>1200</v>
      </c>
      <c r="V116" t="s">
        <v>33</v>
      </c>
      <c r="W116" t="s">
        <v>59</v>
      </c>
      <c r="X116" t="s">
        <v>537</v>
      </c>
    </row>
    <row r="117" spans="1:24" x14ac:dyDescent="0.3">
      <c r="A117">
        <v>116</v>
      </c>
      <c r="B117" s="10">
        <v>45839</v>
      </c>
      <c r="C117" t="s">
        <v>596</v>
      </c>
      <c r="D117" t="s">
        <v>52</v>
      </c>
      <c r="E117" t="s">
        <v>26</v>
      </c>
      <c r="F117" t="s">
        <v>37</v>
      </c>
      <c r="G117" t="s">
        <v>28</v>
      </c>
      <c r="H117" s="11">
        <v>46233</v>
      </c>
      <c r="I117">
        <v>6534</v>
      </c>
      <c r="J117">
        <v>6534</v>
      </c>
      <c r="K117">
        <v>3841</v>
      </c>
      <c r="L117">
        <f t="shared" si="2"/>
        <v>10375</v>
      </c>
      <c r="M117" s="12">
        <f t="shared" si="3"/>
        <v>12242.5</v>
      </c>
      <c r="N117" s="13">
        <v>0.2</v>
      </c>
      <c r="O117" s="14" t="s">
        <v>597</v>
      </c>
      <c r="P117" t="s">
        <v>598</v>
      </c>
      <c r="Q117" t="s">
        <v>48</v>
      </c>
      <c r="T117" t="s">
        <v>599</v>
      </c>
      <c r="U117" s="16" t="s">
        <v>600</v>
      </c>
      <c r="V117" t="s">
        <v>48</v>
      </c>
      <c r="W117" t="s">
        <v>118</v>
      </c>
      <c r="X117" t="s">
        <v>76</v>
      </c>
    </row>
    <row r="118" spans="1:24" x14ac:dyDescent="0.3">
      <c r="A118">
        <v>117</v>
      </c>
      <c r="B118" s="10">
        <v>45839</v>
      </c>
      <c r="C118" t="s">
        <v>601</v>
      </c>
      <c r="D118" t="s">
        <v>52</v>
      </c>
      <c r="E118" t="s">
        <v>26</v>
      </c>
      <c r="F118" t="s">
        <v>298</v>
      </c>
      <c r="G118" t="s">
        <v>53</v>
      </c>
      <c r="H118" s="11">
        <v>46234</v>
      </c>
      <c r="I118">
        <v>53092</v>
      </c>
      <c r="J118">
        <v>53092</v>
      </c>
      <c r="K118">
        <v>25871</v>
      </c>
      <c r="L118">
        <f t="shared" si="2"/>
        <v>78963</v>
      </c>
      <c r="M118" s="12">
        <f t="shared" si="3"/>
        <v>93176.34</v>
      </c>
      <c r="N118" s="13">
        <v>0</v>
      </c>
      <c r="O118" s="14" t="s">
        <v>602</v>
      </c>
      <c r="P118" t="s">
        <v>603</v>
      </c>
      <c r="Q118" t="s">
        <v>604</v>
      </c>
      <c r="T118" t="s">
        <v>57</v>
      </c>
      <c r="U118">
        <v>1984</v>
      </c>
      <c r="V118" t="s">
        <v>65</v>
      </c>
      <c r="W118" t="s">
        <v>59</v>
      </c>
      <c r="X118" t="s">
        <v>76</v>
      </c>
    </row>
    <row r="119" spans="1:24" x14ac:dyDescent="0.3">
      <c r="A119">
        <v>118</v>
      </c>
      <c r="B119" s="10">
        <v>45839</v>
      </c>
      <c r="C119" t="s">
        <v>605</v>
      </c>
      <c r="D119" t="s">
        <v>52</v>
      </c>
      <c r="E119" t="s">
        <v>26</v>
      </c>
      <c r="F119" t="s">
        <v>298</v>
      </c>
      <c r="G119" t="s">
        <v>53</v>
      </c>
      <c r="H119" s="11">
        <v>46234</v>
      </c>
      <c r="I119">
        <v>27095</v>
      </c>
      <c r="J119">
        <v>27095</v>
      </c>
      <c r="K119">
        <v>25871</v>
      </c>
      <c r="L119">
        <f t="shared" si="2"/>
        <v>52966</v>
      </c>
      <c r="M119" s="12">
        <f t="shared" si="3"/>
        <v>62499.88</v>
      </c>
      <c r="N119" s="13">
        <v>0</v>
      </c>
      <c r="O119" s="14" t="s">
        <v>606</v>
      </c>
      <c r="P119" t="s">
        <v>607</v>
      </c>
      <c r="Q119" t="s">
        <v>608</v>
      </c>
      <c r="T119" t="s">
        <v>57</v>
      </c>
      <c r="U119">
        <v>2184</v>
      </c>
      <c r="V119" t="s">
        <v>48</v>
      </c>
      <c r="W119" t="s">
        <v>171</v>
      </c>
      <c r="X119" t="s">
        <v>50</v>
      </c>
    </row>
    <row r="120" spans="1:24" x14ac:dyDescent="0.3">
      <c r="A120">
        <v>119</v>
      </c>
      <c r="B120" s="10">
        <v>45839</v>
      </c>
      <c r="C120" t="s">
        <v>609</v>
      </c>
      <c r="D120" t="s">
        <v>126</v>
      </c>
      <c r="E120" t="s">
        <v>26</v>
      </c>
      <c r="F120" t="s">
        <v>37</v>
      </c>
      <c r="G120" t="s">
        <v>140</v>
      </c>
      <c r="H120" s="11">
        <v>46234</v>
      </c>
      <c r="I120">
        <v>13059</v>
      </c>
      <c r="J120">
        <v>13059</v>
      </c>
      <c r="K120">
        <v>2474</v>
      </c>
      <c r="L120">
        <f t="shared" si="2"/>
        <v>15533</v>
      </c>
      <c r="M120" s="12">
        <f t="shared" si="3"/>
        <v>18328.939999999999</v>
      </c>
      <c r="N120" s="13">
        <v>0</v>
      </c>
      <c r="O120" s="14" t="s">
        <v>610</v>
      </c>
      <c r="P120" t="s">
        <v>611</v>
      </c>
      <c r="Q120" t="s">
        <v>612</v>
      </c>
      <c r="T120" t="s">
        <v>613</v>
      </c>
      <c r="U120">
        <v>999</v>
      </c>
      <c r="V120" t="s">
        <v>65</v>
      </c>
      <c r="W120" t="s">
        <v>165</v>
      </c>
      <c r="X120" t="s">
        <v>322</v>
      </c>
    </row>
    <row r="121" spans="1:24" x14ac:dyDescent="0.3">
      <c r="A121">
        <v>120</v>
      </c>
      <c r="B121" s="10">
        <v>45839</v>
      </c>
      <c r="C121" t="s">
        <v>614</v>
      </c>
      <c r="D121" t="s">
        <v>52</v>
      </c>
      <c r="E121" t="s">
        <v>26</v>
      </c>
      <c r="F121" t="s">
        <v>298</v>
      </c>
      <c r="G121" t="s">
        <v>53</v>
      </c>
      <c r="H121" s="11">
        <v>46233</v>
      </c>
      <c r="I121">
        <v>25184</v>
      </c>
      <c r="J121">
        <v>25184</v>
      </c>
      <c r="K121">
        <v>22182</v>
      </c>
      <c r="L121">
        <f t="shared" si="2"/>
        <v>47366</v>
      </c>
      <c r="M121" s="12">
        <f t="shared" si="3"/>
        <v>55891.88</v>
      </c>
      <c r="N121" s="13">
        <v>0</v>
      </c>
      <c r="O121" s="14" t="s">
        <v>615</v>
      </c>
      <c r="P121" t="s">
        <v>616</v>
      </c>
      <c r="Q121" t="s">
        <v>617</v>
      </c>
      <c r="T121" t="s">
        <v>57</v>
      </c>
      <c r="U121">
        <v>99</v>
      </c>
      <c r="V121" t="s">
        <v>87</v>
      </c>
      <c r="W121" t="s">
        <v>57</v>
      </c>
      <c r="X121" t="s">
        <v>50</v>
      </c>
    </row>
    <row r="122" spans="1:24" x14ac:dyDescent="0.3">
      <c r="A122">
        <v>121</v>
      </c>
      <c r="B122" s="10">
        <v>45839</v>
      </c>
      <c r="C122" t="s">
        <v>618</v>
      </c>
      <c r="D122" t="s">
        <v>72</v>
      </c>
      <c r="E122" t="s">
        <v>26</v>
      </c>
      <c r="F122" t="s">
        <v>298</v>
      </c>
      <c r="G122" t="s">
        <v>53</v>
      </c>
      <c r="H122" s="11">
        <v>46233</v>
      </c>
      <c r="I122">
        <v>93323</v>
      </c>
      <c r="J122">
        <v>93323</v>
      </c>
      <c r="K122">
        <v>25496</v>
      </c>
      <c r="L122">
        <f t="shared" si="2"/>
        <v>118819</v>
      </c>
      <c r="M122" s="12">
        <f t="shared" si="3"/>
        <v>140206.41999999998</v>
      </c>
      <c r="N122" s="13">
        <v>0</v>
      </c>
      <c r="O122" s="14" t="s">
        <v>619</v>
      </c>
      <c r="P122" t="s">
        <v>74</v>
      </c>
      <c r="Q122" t="s">
        <v>620</v>
      </c>
      <c r="T122" t="s">
        <v>57</v>
      </c>
      <c r="U122">
        <v>1993</v>
      </c>
      <c r="V122" t="s">
        <v>48</v>
      </c>
      <c r="W122" t="s">
        <v>57</v>
      </c>
      <c r="X122" t="s">
        <v>42</v>
      </c>
    </row>
    <row r="123" spans="1:24" x14ac:dyDescent="0.3">
      <c r="A123">
        <v>122</v>
      </c>
      <c r="B123" s="10">
        <v>45839</v>
      </c>
      <c r="C123" t="s">
        <v>621</v>
      </c>
      <c r="D123" t="s">
        <v>133</v>
      </c>
      <c r="E123" t="s">
        <v>26</v>
      </c>
      <c r="F123" t="s">
        <v>211</v>
      </c>
      <c r="G123" t="s">
        <v>28</v>
      </c>
      <c r="H123" s="11">
        <v>46233</v>
      </c>
      <c r="I123">
        <v>16779</v>
      </c>
      <c r="J123">
        <v>13615</v>
      </c>
      <c r="K123">
        <v>3164</v>
      </c>
      <c r="L123">
        <f t="shared" si="2"/>
        <v>16779</v>
      </c>
      <c r="M123" s="12">
        <f t="shared" si="3"/>
        <v>19799.22</v>
      </c>
      <c r="N123" s="13">
        <v>0.2</v>
      </c>
      <c r="O123" s="14" t="s">
        <v>622</v>
      </c>
      <c r="P123" t="s">
        <v>534</v>
      </c>
      <c r="Q123" t="s">
        <v>623</v>
      </c>
      <c r="T123" t="s">
        <v>624</v>
      </c>
      <c r="U123">
        <v>888</v>
      </c>
      <c r="V123" t="s">
        <v>65</v>
      </c>
      <c r="W123" t="s">
        <v>165</v>
      </c>
      <c r="X123" t="s">
        <v>537</v>
      </c>
    </row>
    <row r="124" spans="1:24" x14ac:dyDescent="0.3">
      <c r="A124">
        <v>123</v>
      </c>
      <c r="B124" s="10">
        <v>45839</v>
      </c>
      <c r="C124" t="s">
        <v>625</v>
      </c>
      <c r="D124" t="s">
        <v>52</v>
      </c>
      <c r="E124" t="s">
        <v>26</v>
      </c>
      <c r="F124" t="s">
        <v>37</v>
      </c>
      <c r="G124" t="s">
        <v>140</v>
      </c>
      <c r="H124" s="11">
        <v>46233</v>
      </c>
      <c r="I124">
        <v>994026</v>
      </c>
      <c r="J124">
        <v>994026</v>
      </c>
      <c r="K124">
        <v>8447</v>
      </c>
      <c r="L124">
        <f t="shared" si="2"/>
        <v>1002473</v>
      </c>
      <c r="M124" s="12">
        <f t="shared" si="3"/>
        <v>1182918.1399999999</v>
      </c>
      <c r="N124" s="13">
        <v>0</v>
      </c>
      <c r="O124" s="14" t="s">
        <v>626</v>
      </c>
      <c r="P124" t="s">
        <v>627</v>
      </c>
      <c r="Q124" t="s">
        <v>628</v>
      </c>
      <c r="T124" t="s">
        <v>629</v>
      </c>
      <c r="U124">
        <v>6749</v>
      </c>
      <c r="V124" t="s">
        <v>65</v>
      </c>
      <c r="W124" t="s">
        <v>630</v>
      </c>
      <c r="X124" t="s">
        <v>131</v>
      </c>
    </row>
    <row r="125" spans="1:24" x14ac:dyDescent="0.3">
      <c r="A125">
        <v>124</v>
      </c>
      <c r="B125" s="10">
        <v>45839</v>
      </c>
      <c r="C125" t="s">
        <v>631</v>
      </c>
      <c r="D125" t="s">
        <v>302</v>
      </c>
      <c r="E125" t="s">
        <v>297</v>
      </c>
      <c r="F125" t="s">
        <v>298</v>
      </c>
      <c r="G125" t="s">
        <v>632</v>
      </c>
      <c r="H125" s="11">
        <v>46233</v>
      </c>
      <c r="I125">
        <v>7293</v>
      </c>
      <c r="J125">
        <v>7293</v>
      </c>
      <c r="K125">
        <v>0</v>
      </c>
      <c r="L125">
        <f t="shared" si="2"/>
        <v>7293</v>
      </c>
      <c r="M125" s="12">
        <f t="shared" si="3"/>
        <v>8605.74</v>
      </c>
      <c r="N125" s="13">
        <v>0</v>
      </c>
      <c r="O125" s="14" t="s">
        <v>633</v>
      </c>
      <c r="P125" t="s">
        <v>300</v>
      </c>
      <c r="Q125" t="s">
        <v>300</v>
      </c>
      <c r="T125" t="s">
        <v>300</v>
      </c>
      <c r="U125" s="16" t="s">
        <v>300</v>
      </c>
      <c r="V125" t="s">
        <v>300</v>
      </c>
      <c r="W125" t="s">
        <v>300</v>
      </c>
      <c r="X125" t="s">
        <v>35</v>
      </c>
    </row>
    <row r="126" spans="1:24" x14ac:dyDescent="0.3">
      <c r="A126">
        <v>125</v>
      </c>
      <c r="B126" s="10">
        <v>45839</v>
      </c>
      <c r="C126" t="s">
        <v>634</v>
      </c>
      <c r="D126" t="s">
        <v>72</v>
      </c>
      <c r="E126" t="s">
        <v>26</v>
      </c>
      <c r="F126" t="s">
        <v>27</v>
      </c>
      <c r="G126" t="s">
        <v>28</v>
      </c>
      <c r="H126" s="11">
        <v>46241</v>
      </c>
      <c r="I126">
        <v>10504</v>
      </c>
      <c r="J126">
        <v>10504</v>
      </c>
      <c r="K126">
        <v>0</v>
      </c>
      <c r="L126">
        <f t="shared" si="2"/>
        <v>10504</v>
      </c>
      <c r="M126" s="12">
        <f t="shared" si="3"/>
        <v>12394.72</v>
      </c>
      <c r="N126" s="13">
        <v>0.2</v>
      </c>
      <c r="O126" s="14" t="s">
        <v>635</v>
      </c>
      <c r="P126" t="s">
        <v>636</v>
      </c>
      <c r="Q126" t="s">
        <v>637</v>
      </c>
      <c r="T126" t="s">
        <v>638</v>
      </c>
      <c r="U126">
        <v>30</v>
      </c>
      <c r="V126" t="s">
        <v>87</v>
      </c>
      <c r="W126" t="s">
        <v>118</v>
      </c>
      <c r="X126" t="s">
        <v>50</v>
      </c>
    </row>
    <row r="127" spans="1:24" x14ac:dyDescent="0.3">
      <c r="A127">
        <v>126</v>
      </c>
      <c r="B127" s="10">
        <v>45839</v>
      </c>
      <c r="C127" t="s">
        <v>639</v>
      </c>
      <c r="D127" t="s">
        <v>126</v>
      </c>
      <c r="E127" t="s">
        <v>26</v>
      </c>
      <c r="F127" t="s">
        <v>37</v>
      </c>
      <c r="G127" t="s">
        <v>140</v>
      </c>
      <c r="H127" s="11">
        <v>46226</v>
      </c>
      <c r="I127">
        <v>8911</v>
      </c>
      <c r="J127">
        <v>8911</v>
      </c>
      <c r="K127">
        <v>3796</v>
      </c>
      <c r="L127">
        <f t="shared" si="2"/>
        <v>12707</v>
      </c>
      <c r="M127" s="12">
        <f t="shared" si="3"/>
        <v>14994.26</v>
      </c>
      <c r="N127" s="13">
        <v>0</v>
      </c>
      <c r="O127" s="14" t="s">
        <v>640</v>
      </c>
      <c r="P127" t="s">
        <v>474</v>
      </c>
      <c r="Q127" t="s">
        <v>475</v>
      </c>
      <c r="T127" t="s">
        <v>641</v>
      </c>
      <c r="U127">
        <v>1248</v>
      </c>
      <c r="V127" t="s">
        <v>48</v>
      </c>
      <c r="W127" t="s">
        <v>165</v>
      </c>
      <c r="X127" t="s">
        <v>131</v>
      </c>
    </row>
    <row r="128" spans="1:24" x14ac:dyDescent="0.3">
      <c r="A128">
        <v>127</v>
      </c>
      <c r="B128" s="10">
        <v>45839</v>
      </c>
      <c r="C128" t="s">
        <v>642</v>
      </c>
      <c r="D128" t="s">
        <v>126</v>
      </c>
      <c r="E128" t="s">
        <v>26</v>
      </c>
      <c r="F128" t="s">
        <v>37</v>
      </c>
      <c r="G128" t="s">
        <v>28</v>
      </c>
      <c r="H128" s="11">
        <v>46226</v>
      </c>
      <c r="I128">
        <v>8686</v>
      </c>
      <c r="J128">
        <v>8686</v>
      </c>
      <c r="K128">
        <v>0</v>
      </c>
      <c r="L128">
        <f t="shared" si="2"/>
        <v>8686</v>
      </c>
      <c r="M128" s="12">
        <f t="shared" si="3"/>
        <v>10249.48</v>
      </c>
      <c r="N128" s="13">
        <v>0</v>
      </c>
      <c r="O128" s="14" t="s">
        <v>643</v>
      </c>
      <c r="P128" t="s">
        <v>644</v>
      </c>
      <c r="Q128" t="s">
        <v>645</v>
      </c>
      <c r="T128" t="s">
        <v>646</v>
      </c>
      <c r="U128">
        <v>1997</v>
      </c>
      <c r="V128" t="s">
        <v>33</v>
      </c>
      <c r="W128" t="s">
        <v>145</v>
      </c>
      <c r="X128" t="s">
        <v>131</v>
      </c>
    </row>
    <row r="129" spans="1:24" x14ac:dyDescent="0.3">
      <c r="A129">
        <v>128</v>
      </c>
      <c r="B129" s="10">
        <v>45839</v>
      </c>
      <c r="C129" t="s">
        <v>647</v>
      </c>
      <c r="D129" t="s">
        <v>72</v>
      </c>
      <c r="E129" t="s">
        <v>26</v>
      </c>
      <c r="F129" t="s">
        <v>37</v>
      </c>
      <c r="G129" t="s">
        <v>28</v>
      </c>
      <c r="H129" s="11">
        <v>46230</v>
      </c>
      <c r="I129">
        <v>4449</v>
      </c>
      <c r="J129">
        <v>4449</v>
      </c>
      <c r="K129">
        <v>4091</v>
      </c>
      <c r="L129">
        <f t="shared" si="2"/>
        <v>8540</v>
      </c>
      <c r="M129" s="12">
        <f t="shared" si="3"/>
        <v>10077.200000000001</v>
      </c>
      <c r="N129" s="13">
        <v>0.25</v>
      </c>
      <c r="O129" s="14" t="s">
        <v>648</v>
      </c>
      <c r="P129" t="s">
        <v>649</v>
      </c>
      <c r="Q129" t="s">
        <v>650</v>
      </c>
      <c r="T129" t="s">
        <v>651</v>
      </c>
      <c r="U129">
        <v>1498</v>
      </c>
      <c r="V129" t="s">
        <v>48</v>
      </c>
      <c r="W129" t="s">
        <v>118</v>
      </c>
      <c r="X129" t="s">
        <v>131</v>
      </c>
    </row>
    <row r="130" spans="1:24" x14ac:dyDescent="0.3">
      <c r="A130">
        <v>129</v>
      </c>
      <c r="B130" s="10">
        <v>45839</v>
      </c>
      <c r="C130" t="s">
        <v>652</v>
      </c>
      <c r="D130" t="s">
        <v>72</v>
      </c>
      <c r="E130" t="s">
        <v>26</v>
      </c>
      <c r="F130" t="s">
        <v>37</v>
      </c>
      <c r="G130" t="s">
        <v>140</v>
      </c>
      <c r="H130" s="11">
        <v>46223</v>
      </c>
      <c r="I130">
        <v>3829</v>
      </c>
      <c r="J130">
        <v>3829</v>
      </c>
      <c r="K130">
        <v>3841</v>
      </c>
      <c r="L130">
        <f t="shared" ref="L130:L131" si="4">J130+K130</f>
        <v>7670</v>
      </c>
      <c r="M130" s="12">
        <f t="shared" si="3"/>
        <v>9050.6</v>
      </c>
      <c r="N130" s="13">
        <v>0</v>
      </c>
      <c r="O130" s="14" t="s">
        <v>653</v>
      </c>
      <c r="P130" t="s">
        <v>654</v>
      </c>
      <c r="Q130" t="s">
        <v>655</v>
      </c>
      <c r="T130" t="s">
        <v>656</v>
      </c>
      <c r="U130">
        <v>1197</v>
      </c>
      <c r="V130" t="s">
        <v>33</v>
      </c>
      <c r="W130" t="s">
        <v>118</v>
      </c>
      <c r="X130" t="s">
        <v>131</v>
      </c>
    </row>
    <row r="131" spans="1:24" x14ac:dyDescent="0.3">
      <c r="A131">
        <v>130</v>
      </c>
      <c r="B131" s="10">
        <v>45839</v>
      </c>
      <c r="C131" t="s">
        <v>657</v>
      </c>
      <c r="D131" t="s">
        <v>52</v>
      </c>
      <c r="E131" t="s">
        <v>26</v>
      </c>
      <c r="F131" t="s">
        <v>37</v>
      </c>
      <c r="G131" t="s">
        <v>53</v>
      </c>
      <c r="H131" s="11">
        <v>46210</v>
      </c>
      <c r="I131" s="12">
        <f>14053.44+31606.48</f>
        <v>45659.92</v>
      </c>
      <c r="J131" s="12">
        <f>14053.44+31606.48</f>
        <v>45659.92</v>
      </c>
      <c r="K131" s="12">
        <v>22901</v>
      </c>
      <c r="L131" s="12">
        <f t="shared" si="4"/>
        <v>68560.92</v>
      </c>
      <c r="M131" s="12">
        <f t="shared" ref="M131" si="5">(L131)+(L131*18%)</f>
        <v>80901.885599999994</v>
      </c>
      <c r="N131" s="13">
        <v>0</v>
      </c>
      <c r="O131" s="14" t="s">
        <v>658</v>
      </c>
      <c r="P131" t="s">
        <v>578</v>
      </c>
      <c r="Q131" t="s">
        <v>659</v>
      </c>
      <c r="T131" t="s">
        <v>57</v>
      </c>
      <c r="U131">
        <v>1987</v>
      </c>
      <c r="V131" t="s">
        <v>33</v>
      </c>
      <c r="W131" t="s">
        <v>118</v>
      </c>
      <c r="X131" t="s">
        <v>35</v>
      </c>
    </row>
  </sheetData>
  <conditionalFormatting sqref="O1">
    <cfRule type="duplicateValues" dxfId="0" priority="2"/>
  </conditionalFormatting>
  <dataValidations disablePrompts="1" count="5">
    <dataValidation type="list" allowBlank="1" showInputMessage="1" showErrorMessage="1" sqref="F2:F131" xr:uid="{80DB9C17-A402-4CC2-A688-8EF714A7829E}">
      <formula1>$XET$2:$XET$22</formula1>
    </dataValidation>
    <dataValidation type="list" allowBlank="1" showInputMessage="1" showErrorMessage="1" sqref="D1:D131" xr:uid="{063974AA-017E-4628-A230-A90793E832DB}">
      <formula1>$XEQ$2:$XEQ$10</formula1>
    </dataValidation>
    <dataValidation type="list" allowBlank="1" showInputMessage="1" showErrorMessage="1" sqref="B2:B131" xr:uid="{BD7F93DD-3B59-4343-88A7-064BA271143F}">
      <formula1>$XER$2:$XER$4</formula1>
    </dataValidation>
    <dataValidation type="list" allowBlank="1" showInputMessage="1" showErrorMessage="1" sqref="E2:E131" xr:uid="{D7998396-EE67-432E-AC0B-136D055489BA}">
      <formula1>$XES$2:$XES$6</formula1>
    </dataValidation>
    <dataValidation type="list" allowBlank="1" showInputMessage="1" showErrorMessage="1" sqref="G33:G131 G2:G31" xr:uid="{39A60079-A686-4B17-B5E4-1CAAF6D8655A}">
      <formula1>$XEU$2:$XFD$6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Sure</dc:creator>
  <cp:lastModifiedBy>AKASH HARSHITHA</cp:lastModifiedBy>
  <dcterms:created xsi:type="dcterms:W3CDTF">2026-03-01T07:52:45Z</dcterms:created>
  <dcterms:modified xsi:type="dcterms:W3CDTF">2026-03-16T10:56:01Z</dcterms:modified>
</cp:coreProperties>
</file>